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E:\Portofolio telkom\"/>
    </mc:Choice>
  </mc:AlternateContent>
  <xr:revisionPtr revIDLastSave="0" documentId="13_ncr:1_{284F0E9B-E434-4726-A9B1-679DDE2E2973}" xr6:coauthVersionLast="47" xr6:coauthVersionMax="47" xr10:uidLastSave="{00000000-0000-0000-0000-000000000000}"/>
  <bookViews>
    <workbookView xWindow="-108" yWindow="-108" windowWidth="23256" windowHeight="12456" activeTab="2" xr2:uid="{27E3DBC2-27A2-4531-B4EF-4A1FD1B244E4}"/>
  </bookViews>
  <sheets>
    <sheet name="Dataset" sheetId="1" r:id="rId1"/>
    <sheet name="Feature Enginering" sheetId="2" r:id="rId2"/>
    <sheet name="Dashboard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2" l="1"/>
  <c r="M464" i="2"/>
  <c r="L464" i="2" a="1"/>
  <c r="L464" i="2" s="1"/>
  <c r="M463" i="2"/>
  <c r="L463" i="2" a="1"/>
  <c r="L463" i="2" s="1"/>
  <c r="M462" i="2"/>
  <c r="L462" i="2" a="1"/>
  <c r="L462" i="2" s="1"/>
  <c r="M461" i="2"/>
  <c r="L461" i="2" a="1"/>
  <c r="L461" i="2" s="1"/>
  <c r="M460" i="2"/>
  <c r="L460" i="2"/>
  <c r="L460" i="2" a="1"/>
  <c r="M459" i="2"/>
  <c r="L459" i="2" a="1"/>
  <c r="L459" i="2" s="1"/>
  <c r="M458" i="2"/>
  <c r="L458" i="2"/>
  <c r="L458" i="2" a="1"/>
  <c r="M457" i="2"/>
  <c r="L457" i="2" a="1"/>
  <c r="L457" i="2" s="1"/>
  <c r="M456" i="2"/>
  <c r="L456" i="2" a="1"/>
  <c r="L456" i="2" s="1"/>
  <c r="M455" i="2"/>
  <c r="L455" i="2" a="1"/>
  <c r="L455" i="2" s="1"/>
  <c r="M454" i="2"/>
  <c r="L454" i="2" a="1"/>
  <c r="L454" i="2" s="1"/>
  <c r="M453" i="2"/>
  <c r="L453" i="2" a="1"/>
  <c r="L453" i="2" s="1"/>
  <c r="M452" i="2"/>
  <c r="L452" i="2"/>
  <c r="L452" i="2" a="1"/>
  <c r="M451" i="2"/>
  <c r="L451" i="2" a="1"/>
  <c r="L451" i="2" s="1"/>
  <c r="M450" i="2"/>
  <c r="L450" i="2"/>
  <c r="L450" i="2" a="1"/>
  <c r="M449" i="2"/>
  <c r="L449" i="2" a="1"/>
  <c r="L449" i="2" s="1"/>
  <c r="M448" i="2"/>
  <c r="L448" i="2" a="1"/>
  <c r="L448" i="2" s="1"/>
  <c r="M447" i="2"/>
  <c r="L447" i="2" a="1"/>
  <c r="L447" i="2" s="1"/>
  <c r="M446" i="2"/>
  <c r="L446" i="2"/>
  <c r="L446" i="2" a="1"/>
  <c r="M445" i="2"/>
  <c r="L445" i="2"/>
  <c r="L445" i="2" a="1"/>
  <c r="M444" i="2"/>
  <c r="L444" i="2" a="1"/>
  <c r="L444" i="2" s="1"/>
  <c r="M443" i="2"/>
  <c r="L443" i="2" a="1"/>
  <c r="L443" i="2" s="1"/>
  <c r="M442" i="2"/>
  <c r="L442" i="2" a="1"/>
  <c r="L442" i="2" s="1"/>
  <c r="M441" i="2"/>
  <c r="L441" i="2" a="1"/>
  <c r="L441" i="2" s="1"/>
  <c r="M440" i="2"/>
  <c r="L440" i="2" a="1"/>
  <c r="L440" i="2" s="1"/>
  <c r="M439" i="2"/>
  <c r="L439" i="2" a="1"/>
  <c r="L439" i="2" s="1"/>
  <c r="M438" i="2"/>
  <c r="L438" i="2"/>
  <c r="L438" i="2" a="1"/>
  <c r="M437" i="2"/>
  <c r="L437" i="2" a="1"/>
  <c r="L437" i="2" s="1"/>
  <c r="M436" i="2"/>
  <c r="L436" i="2" a="1"/>
  <c r="L436" i="2" s="1"/>
  <c r="M435" i="2"/>
  <c r="L435" i="2" a="1"/>
  <c r="L435" i="2" s="1"/>
  <c r="M434" i="2"/>
  <c r="L434" i="2" a="1"/>
  <c r="L434" i="2" s="1"/>
  <c r="M433" i="2"/>
  <c r="L433" i="2"/>
  <c r="L433" i="2" a="1"/>
  <c r="M432" i="2"/>
  <c r="L432" i="2"/>
  <c r="L432" i="2" a="1"/>
  <c r="M431" i="2"/>
  <c r="L431" i="2" a="1"/>
  <c r="L431" i="2" s="1"/>
  <c r="M430" i="2"/>
  <c r="L430" i="2"/>
  <c r="L430" i="2" a="1"/>
  <c r="M429" i="2"/>
  <c r="L429" i="2" a="1"/>
  <c r="L429" i="2" s="1"/>
  <c r="M428" i="2"/>
  <c r="L428" i="2" a="1"/>
  <c r="L428" i="2" s="1"/>
  <c r="M427" i="2"/>
  <c r="L427" i="2" a="1"/>
  <c r="L427" i="2" s="1"/>
  <c r="M426" i="2"/>
  <c r="L426" i="2" a="1"/>
  <c r="L426" i="2" s="1"/>
  <c r="M425" i="2"/>
  <c r="L425" i="2"/>
  <c r="L425" i="2" a="1"/>
  <c r="M424" i="2"/>
  <c r="L424" i="2" a="1"/>
  <c r="L424" i="2" s="1"/>
  <c r="M423" i="2"/>
  <c r="L423" i="2" a="1"/>
  <c r="L423" i="2" s="1"/>
  <c r="M422" i="2"/>
  <c r="L422" i="2" a="1"/>
  <c r="L422" i="2" s="1"/>
  <c r="M421" i="2"/>
  <c r="L421" i="2" a="1"/>
  <c r="L421" i="2" s="1"/>
  <c r="M420" i="2"/>
  <c r="L420" i="2"/>
  <c r="L420" i="2" a="1"/>
  <c r="M419" i="2"/>
  <c r="L419" i="2" a="1"/>
  <c r="L419" i="2" s="1"/>
  <c r="M418" i="2"/>
  <c r="L418" i="2" a="1"/>
  <c r="L418" i="2" s="1"/>
  <c r="M417" i="2"/>
  <c r="L417" i="2"/>
  <c r="L417" i="2" a="1"/>
  <c r="M416" i="2"/>
  <c r="L416" i="2" a="1"/>
  <c r="L416" i="2" s="1"/>
  <c r="M415" i="2"/>
  <c r="L415" i="2" a="1"/>
  <c r="L415" i="2" s="1"/>
  <c r="M414" i="2"/>
  <c r="L414" i="2" a="1"/>
  <c r="L414" i="2" s="1"/>
  <c r="M413" i="2"/>
  <c r="L413" i="2" a="1"/>
  <c r="L413" i="2" s="1"/>
  <c r="M412" i="2"/>
  <c r="L412" i="2"/>
  <c r="L412" i="2" a="1"/>
  <c r="M411" i="2"/>
  <c r="L411" i="2" a="1"/>
  <c r="L411" i="2" s="1"/>
  <c r="M410" i="2"/>
  <c r="L410" i="2"/>
  <c r="L410" i="2" a="1"/>
  <c r="M409" i="2"/>
  <c r="L409" i="2" a="1"/>
  <c r="L409" i="2" s="1"/>
  <c r="M408" i="2"/>
  <c r="L408" i="2" a="1"/>
  <c r="L408" i="2" s="1"/>
  <c r="M407" i="2"/>
  <c r="L407" i="2" a="1"/>
  <c r="L407" i="2" s="1"/>
  <c r="M406" i="2"/>
  <c r="L406" i="2" a="1"/>
  <c r="L406" i="2" s="1"/>
  <c r="M405" i="2"/>
  <c r="L405" i="2" a="1"/>
  <c r="L405" i="2" s="1"/>
  <c r="M404" i="2"/>
  <c r="L404" i="2"/>
  <c r="L404" i="2" a="1"/>
  <c r="M403" i="2"/>
  <c r="L403" i="2" a="1"/>
  <c r="L403" i="2" s="1"/>
  <c r="M402" i="2"/>
  <c r="L402" i="2" a="1"/>
  <c r="L402" i="2" s="1"/>
  <c r="M401" i="2"/>
  <c r="L401" i="2" a="1"/>
  <c r="L401" i="2" s="1"/>
  <c r="M400" i="2"/>
  <c r="L400" i="2" a="1"/>
  <c r="L400" i="2" s="1"/>
  <c r="M399" i="2"/>
  <c r="L399" i="2" a="1"/>
  <c r="L399" i="2" s="1"/>
  <c r="M398" i="2"/>
  <c r="L398" i="2"/>
  <c r="L398" i="2" a="1"/>
  <c r="M397" i="2"/>
  <c r="L397" i="2"/>
  <c r="L397" i="2" a="1"/>
  <c r="M396" i="2"/>
  <c r="L396" i="2" a="1"/>
  <c r="L396" i="2" s="1"/>
  <c r="M395" i="2"/>
  <c r="L395" i="2" a="1"/>
  <c r="L395" i="2" s="1"/>
  <c r="M394" i="2"/>
  <c r="L394" i="2" a="1"/>
  <c r="L394" i="2" s="1"/>
  <c r="M393" i="2"/>
  <c r="L393" i="2" a="1"/>
  <c r="L393" i="2" s="1"/>
  <c r="M392" i="2"/>
  <c r="L392" i="2" a="1"/>
  <c r="L392" i="2" s="1"/>
  <c r="M391" i="2"/>
  <c r="L391" i="2" a="1"/>
  <c r="L391" i="2" s="1"/>
  <c r="M390" i="2"/>
  <c r="L390" i="2"/>
  <c r="L390" i="2" a="1"/>
  <c r="M389" i="2"/>
  <c r="L389" i="2" a="1"/>
  <c r="L389" i="2" s="1"/>
  <c r="M388" i="2"/>
  <c r="L388" i="2" a="1"/>
  <c r="L388" i="2" s="1"/>
  <c r="M387" i="2"/>
  <c r="L387" i="2" a="1"/>
  <c r="L387" i="2" s="1"/>
  <c r="M386" i="2"/>
  <c r="L386" i="2" a="1"/>
  <c r="L386" i="2" s="1"/>
  <c r="M385" i="2"/>
  <c r="L385" i="2"/>
  <c r="L385" i="2" a="1"/>
  <c r="M384" i="2"/>
  <c r="L384" i="2"/>
  <c r="L384" i="2" a="1"/>
  <c r="M383" i="2"/>
  <c r="L383" i="2" a="1"/>
  <c r="L383" i="2" s="1"/>
  <c r="M382" i="2"/>
  <c r="L382" i="2"/>
  <c r="L382" i="2" a="1"/>
  <c r="M381" i="2"/>
  <c r="L381" i="2" a="1"/>
  <c r="L381" i="2" s="1"/>
  <c r="M380" i="2"/>
  <c r="L380" i="2" a="1"/>
  <c r="L380" i="2" s="1"/>
  <c r="M379" i="2"/>
  <c r="L379" i="2" a="1"/>
  <c r="L379" i="2" s="1"/>
  <c r="M378" i="2"/>
  <c r="L378" i="2" a="1"/>
  <c r="L378" i="2" s="1"/>
  <c r="M377" i="2"/>
  <c r="L377" i="2"/>
  <c r="L377" i="2" a="1"/>
  <c r="M376" i="2"/>
  <c r="L376" i="2" a="1"/>
  <c r="L376" i="2" s="1"/>
  <c r="M375" i="2"/>
  <c r="L375" i="2" a="1"/>
  <c r="L375" i="2" s="1"/>
  <c r="M374" i="2"/>
  <c r="L374" i="2" a="1"/>
  <c r="L374" i="2" s="1"/>
  <c r="M373" i="2"/>
  <c r="L373" i="2" a="1"/>
  <c r="L373" i="2" s="1"/>
  <c r="M372" i="2"/>
  <c r="L372" i="2"/>
  <c r="L372" i="2" a="1"/>
  <c r="M371" i="2"/>
  <c r="L371" i="2" a="1"/>
  <c r="L371" i="2" s="1"/>
  <c r="M370" i="2"/>
  <c r="L370" i="2" a="1"/>
  <c r="L370" i="2" s="1"/>
  <c r="M369" i="2"/>
  <c r="L369" i="2"/>
  <c r="L369" i="2" a="1"/>
  <c r="M368" i="2"/>
  <c r="L368" i="2" a="1"/>
  <c r="L368" i="2" s="1"/>
  <c r="M367" i="2"/>
  <c r="L367" i="2" a="1"/>
  <c r="L367" i="2" s="1"/>
  <c r="M366" i="2"/>
  <c r="L366" i="2" a="1"/>
  <c r="L366" i="2" s="1"/>
  <c r="M365" i="2"/>
  <c r="L365" i="2" a="1"/>
  <c r="L365" i="2" s="1"/>
  <c r="M364" i="2"/>
  <c r="L364" i="2"/>
  <c r="L364" i="2" a="1"/>
  <c r="M363" i="2"/>
  <c r="L363" i="2" a="1"/>
  <c r="L363" i="2" s="1"/>
  <c r="M362" i="2"/>
  <c r="L362" i="2"/>
  <c r="L362" i="2" a="1"/>
  <c r="M361" i="2"/>
  <c r="L361" i="2" a="1"/>
  <c r="L361" i="2" s="1"/>
  <c r="M360" i="2"/>
  <c r="L360" i="2" a="1"/>
  <c r="L360" i="2" s="1"/>
  <c r="M359" i="2"/>
  <c r="L359" i="2" a="1"/>
  <c r="L359" i="2" s="1"/>
  <c r="M358" i="2"/>
  <c r="L358" i="2" a="1"/>
  <c r="L358" i="2" s="1"/>
  <c r="M357" i="2"/>
  <c r="L357" i="2" a="1"/>
  <c r="L357" i="2" s="1"/>
  <c r="M356" i="2"/>
  <c r="L356" i="2"/>
  <c r="L356" i="2" a="1"/>
  <c r="M355" i="2"/>
  <c r="L355" i="2" a="1"/>
  <c r="L355" i="2" s="1"/>
  <c r="M354" i="2"/>
  <c r="L354" i="2" a="1"/>
  <c r="L354" i="2" s="1"/>
  <c r="M353" i="2"/>
  <c r="L353" i="2" a="1"/>
  <c r="L353" i="2" s="1"/>
  <c r="M352" i="2"/>
  <c r="L352" i="2" a="1"/>
  <c r="L352" i="2" s="1"/>
  <c r="M351" i="2"/>
  <c r="L351" i="2" a="1"/>
  <c r="L351" i="2" s="1"/>
  <c r="M350" i="2"/>
  <c r="L350" i="2"/>
  <c r="L350" i="2" a="1"/>
  <c r="M349" i="2"/>
  <c r="L349" i="2"/>
  <c r="L349" i="2" a="1"/>
  <c r="M348" i="2"/>
  <c r="L348" i="2" a="1"/>
  <c r="L348" i="2" s="1"/>
  <c r="M347" i="2"/>
  <c r="L347" i="2" a="1"/>
  <c r="L347" i="2" s="1"/>
  <c r="M346" i="2"/>
  <c r="L346" i="2" a="1"/>
  <c r="L346" i="2" s="1"/>
  <c r="M345" i="2"/>
  <c r="L345" i="2" a="1"/>
  <c r="L345" i="2" s="1"/>
  <c r="M344" i="2"/>
  <c r="L344" i="2" a="1"/>
  <c r="L344" i="2" s="1"/>
  <c r="M343" i="2"/>
  <c r="L343" i="2" a="1"/>
  <c r="L343" i="2" s="1"/>
  <c r="M342" i="2"/>
  <c r="L342" i="2"/>
  <c r="L342" i="2" a="1"/>
  <c r="M341" i="2"/>
  <c r="L341" i="2" a="1"/>
  <c r="L341" i="2" s="1"/>
  <c r="M340" i="2"/>
  <c r="L340" i="2" a="1"/>
  <c r="L340" i="2" s="1"/>
  <c r="M339" i="2"/>
  <c r="L339" i="2" a="1"/>
  <c r="L339" i="2" s="1"/>
  <c r="M338" i="2"/>
  <c r="L338" i="2" a="1"/>
  <c r="L338" i="2" s="1"/>
  <c r="M337" i="2"/>
  <c r="L337" i="2"/>
  <c r="L337" i="2" a="1"/>
  <c r="M336" i="2"/>
  <c r="L336" i="2"/>
  <c r="L336" i="2" a="1"/>
  <c r="M335" i="2"/>
  <c r="L335" i="2" a="1"/>
  <c r="L335" i="2" s="1"/>
  <c r="M334" i="2"/>
  <c r="L334" i="2"/>
  <c r="L334" i="2" a="1"/>
  <c r="M333" i="2"/>
  <c r="L333" i="2" a="1"/>
  <c r="L333" i="2" s="1"/>
  <c r="M332" i="2"/>
  <c r="L332" i="2" a="1"/>
  <c r="L332" i="2" s="1"/>
  <c r="M331" i="2"/>
  <c r="L331" i="2" a="1"/>
  <c r="L331" i="2" s="1"/>
  <c r="M330" i="2"/>
  <c r="L330" i="2" a="1"/>
  <c r="L330" i="2" s="1"/>
  <c r="M329" i="2"/>
  <c r="L329" i="2"/>
  <c r="L329" i="2" a="1"/>
  <c r="M328" i="2"/>
  <c r="L328" i="2" a="1"/>
  <c r="L328" i="2" s="1"/>
  <c r="M327" i="2"/>
  <c r="L327" i="2" a="1"/>
  <c r="L327" i="2" s="1"/>
  <c r="M326" i="2"/>
  <c r="L326" i="2" a="1"/>
  <c r="L326" i="2" s="1"/>
  <c r="M325" i="2"/>
  <c r="L325" i="2" a="1"/>
  <c r="L325" i="2" s="1"/>
  <c r="M324" i="2"/>
  <c r="L324" i="2"/>
  <c r="L324" i="2" a="1"/>
  <c r="M323" i="2"/>
  <c r="L323" i="2" a="1"/>
  <c r="L323" i="2" s="1"/>
  <c r="M322" i="2"/>
  <c r="L322" i="2" a="1"/>
  <c r="L322" i="2" s="1"/>
  <c r="M321" i="2"/>
  <c r="L321" i="2"/>
  <c r="L321" i="2" a="1"/>
  <c r="M320" i="2"/>
  <c r="L320" i="2" a="1"/>
  <c r="L320" i="2" s="1"/>
  <c r="M319" i="2"/>
  <c r="L319" i="2" a="1"/>
  <c r="L319" i="2" s="1"/>
  <c r="M318" i="2"/>
  <c r="L318" i="2" a="1"/>
  <c r="L318" i="2" s="1"/>
  <c r="M317" i="2"/>
  <c r="L317" i="2" a="1"/>
  <c r="L317" i="2" s="1"/>
  <c r="M316" i="2"/>
  <c r="L316" i="2"/>
  <c r="L316" i="2" a="1"/>
  <c r="M315" i="2"/>
  <c r="L315" i="2" a="1"/>
  <c r="L315" i="2" s="1"/>
  <c r="M314" i="2"/>
  <c r="L314" i="2"/>
  <c r="L314" i="2" a="1"/>
  <c r="M313" i="2"/>
  <c r="L313" i="2" a="1"/>
  <c r="L313" i="2" s="1"/>
  <c r="M312" i="2"/>
  <c r="L312" i="2" a="1"/>
  <c r="L312" i="2" s="1"/>
  <c r="M311" i="2"/>
  <c r="L311" i="2" a="1"/>
  <c r="L311" i="2" s="1"/>
  <c r="M310" i="2"/>
  <c r="L310" i="2" a="1"/>
  <c r="L310" i="2" s="1"/>
  <c r="M309" i="2"/>
  <c r="L309" i="2" a="1"/>
  <c r="L309" i="2" s="1"/>
  <c r="M308" i="2"/>
  <c r="L308" i="2"/>
  <c r="L308" i="2" a="1"/>
  <c r="M307" i="2"/>
  <c r="L307" i="2" a="1"/>
  <c r="L307" i="2" s="1"/>
  <c r="M306" i="2"/>
  <c r="L306" i="2" a="1"/>
  <c r="L306" i="2" s="1"/>
  <c r="M305" i="2"/>
  <c r="L305" i="2" a="1"/>
  <c r="L305" i="2" s="1"/>
  <c r="M304" i="2"/>
  <c r="L304" i="2" a="1"/>
  <c r="L304" i="2" s="1"/>
  <c r="M303" i="2"/>
  <c r="L303" i="2" a="1"/>
  <c r="L303" i="2" s="1"/>
  <c r="M302" i="2"/>
  <c r="L302" i="2"/>
  <c r="L302" i="2" a="1"/>
  <c r="M301" i="2"/>
  <c r="L301" i="2"/>
  <c r="L301" i="2" a="1"/>
  <c r="M300" i="2"/>
  <c r="L300" i="2" a="1"/>
  <c r="L300" i="2" s="1"/>
  <c r="M299" i="2"/>
  <c r="L299" i="2" a="1"/>
  <c r="L299" i="2" s="1"/>
  <c r="M298" i="2"/>
  <c r="L298" i="2" a="1"/>
  <c r="L298" i="2" s="1"/>
  <c r="M297" i="2"/>
  <c r="L297" i="2" a="1"/>
  <c r="L297" i="2" s="1"/>
  <c r="M296" i="2"/>
  <c r="L296" i="2" a="1"/>
  <c r="L296" i="2" s="1"/>
  <c r="M295" i="2"/>
  <c r="L295" i="2" a="1"/>
  <c r="L295" i="2" s="1"/>
  <c r="M294" i="2"/>
  <c r="L294" i="2"/>
  <c r="L294" i="2" a="1"/>
  <c r="M293" i="2"/>
  <c r="L293" i="2" a="1"/>
  <c r="L293" i="2" s="1"/>
  <c r="M292" i="2"/>
  <c r="L292" i="2" a="1"/>
  <c r="L292" i="2" s="1"/>
  <c r="M291" i="2"/>
  <c r="L291" i="2" a="1"/>
  <c r="L291" i="2" s="1"/>
  <c r="M290" i="2"/>
  <c r="L290" i="2" a="1"/>
  <c r="L290" i="2" s="1"/>
  <c r="M289" i="2"/>
  <c r="L289" i="2"/>
  <c r="L289" i="2" a="1"/>
  <c r="M288" i="2"/>
  <c r="L288" i="2"/>
  <c r="L288" i="2" a="1"/>
  <c r="M287" i="2"/>
  <c r="L287" i="2" a="1"/>
  <c r="L287" i="2" s="1"/>
  <c r="M286" i="2"/>
  <c r="L286" i="2"/>
  <c r="L286" i="2" a="1"/>
  <c r="M285" i="2"/>
  <c r="L285" i="2" a="1"/>
  <c r="L285" i="2" s="1"/>
  <c r="M284" i="2"/>
  <c r="L284" i="2" a="1"/>
  <c r="L284" i="2" s="1"/>
  <c r="M283" i="2"/>
  <c r="L283" i="2" a="1"/>
  <c r="L283" i="2" s="1"/>
  <c r="M282" i="2"/>
  <c r="L282" i="2" a="1"/>
  <c r="L282" i="2" s="1"/>
  <c r="M281" i="2"/>
  <c r="L281" i="2"/>
  <c r="L281" i="2" a="1"/>
  <c r="M280" i="2"/>
  <c r="L280" i="2" a="1"/>
  <c r="L280" i="2" s="1"/>
  <c r="M279" i="2"/>
  <c r="L279" i="2" a="1"/>
  <c r="L279" i="2" s="1"/>
  <c r="M278" i="2"/>
  <c r="L278" i="2" a="1"/>
  <c r="L278" i="2" s="1"/>
  <c r="M277" i="2"/>
  <c r="L277" i="2" a="1"/>
  <c r="L277" i="2" s="1"/>
  <c r="M276" i="2"/>
  <c r="L276" i="2"/>
  <c r="L276" i="2" a="1"/>
  <c r="M275" i="2"/>
  <c r="L275" i="2" a="1"/>
  <c r="L275" i="2" s="1"/>
  <c r="M274" i="2"/>
  <c r="L274" i="2" a="1"/>
  <c r="L274" i="2" s="1"/>
  <c r="M273" i="2"/>
  <c r="L273" i="2"/>
  <c r="L273" i="2" a="1"/>
  <c r="M272" i="2"/>
  <c r="L272" i="2" a="1"/>
  <c r="L272" i="2" s="1"/>
  <c r="M271" i="2"/>
  <c r="L271" i="2" a="1"/>
  <c r="L271" i="2" s="1"/>
  <c r="M270" i="2"/>
  <c r="L270" i="2" a="1"/>
  <c r="L270" i="2" s="1"/>
  <c r="M269" i="2"/>
  <c r="L269" i="2" a="1"/>
  <c r="L269" i="2" s="1"/>
  <c r="M268" i="2"/>
  <c r="L268" i="2"/>
  <c r="L268" i="2" a="1"/>
  <c r="M267" i="2"/>
  <c r="L267" i="2" a="1"/>
  <c r="L267" i="2" s="1"/>
  <c r="M266" i="2"/>
  <c r="L266" i="2"/>
  <c r="L266" i="2" a="1"/>
  <c r="M265" i="2"/>
  <c r="L265" i="2" a="1"/>
  <c r="L265" i="2" s="1"/>
  <c r="M264" i="2"/>
  <c r="L264" i="2" a="1"/>
  <c r="L264" i="2" s="1"/>
  <c r="M263" i="2"/>
  <c r="L263" i="2" a="1"/>
  <c r="L263" i="2" s="1"/>
  <c r="M262" i="2"/>
  <c r="L262" i="2" a="1"/>
  <c r="L262" i="2" s="1"/>
  <c r="M261" i="2"/>
  <c r="L261" i="2" a="1"/>
  <c r="L261" i="2" s="1"/>
  <c r="M260" i="2"/>
  <c r="L260" i="2"/>
  <c r="L260" i="2" a="1"/>
  <c r="M259" i="2"/>
  <c r="L259" i="2" a="1"/>
  <c r="L259" i="2" s="1"/>
  <c r="M258" i="2"/>
  <c r="L258" i="2" a="1"/>
  <c r="L258" i="2" s="1"/>
  <c r="M257" i="2"/>
  <c r="L257" i="2" a="1"/>
  <c r="L257" i="2" s="1"/>
  <c r="M256" i="2"/>
  <c r="L256" i="2" a="1"/>
  <c r="L256" i="2" s="1"/>
  <c r="M255" i="2"/>
  <c r="L255" i="2" a="1"/>
  <c r="L255" i="2" s="1"/>
  <c r="M254" i="2"/>
  <c r="L254" i="2"/>
  <c r="L254" i="2" a="1"/>
  <c r="M253" i="2"/>
  <c r="L253" i="2"/>
  <c r="L253" i="2" a="1"/>
  <c r="M252" i="2"/>
  <c r="L252" i="2" a="1"/>
  <c r="L252" i="2" s="1"/>
  <c r="M251" i="2"/>
  <c r="L251" i="2" a="1"/>
  <c r="L251" i="2" s="1"/>
  <c r="M250" i="2"/>
  <c r="L250" i="2" a="1"/>
  <c r="L250" i="2" s="1"/>
  <c r="M249" i="2"/>
  <c r="L249" i="2" a="1"/>
  <c r="L249" i="2" s="1"/>
  <c r="M248" i="2"/>
  <c r="L248" i="2" a="1"/>
  <c r="L248" i="2" s="1"/>
  <c r="M247" i="2"/>
  <c r="L247" i="2" a="1"/>
  <c r="L247" i="2" s="1"/>
  <c r="M246" i="2"/>
  <c r="L246" i="2"/>
  <c r="L246" i="2" a="1"/>
  <c r="M245" i="2"/>
  <c r="L245" i="2" a="1"/>
  <c r="L245" i="2" s="1"/>
  <c r="M244" i="2"/>
  <c r="L244" i="2" a="1"/>
  <c r="L244" i="2" s="1"/>
  <c r="M243" i="2"/>
  <c r="L243" i="2" a="1"/>
  <c r="L243" i="2" s="1"/>
  <c r="M242" i="2"/>
  <c r="L242" i="2" a="1"/>
  <c r="L242" i="2" s="1"/>
  <c r="M241" i="2"/>
  <c r="L241" i="2"/>
  <c r="L241" i="2" a="1"/>
  <c r="M240" i="2"/>
  <c r="L240" i="2"/>
  <c r="L240" i="2" a="1"/>
  <c r="M239" i="2"/>
  <c r="L239" i="2" a="1"/>
  <c r="L239" i="2" s="1"/>
  <c r="M238" i="2"/>
  <c r="L238" i="2"/>
  <c r="L238" i="2" a="1"/>
  <c r="M237" i="2"/>
  <c r="L237" i="2" a="1"/>
  <c r="L237" i="2" s="1"/>
  <c r="M236" i="2"/>
  <c r="L236" i="2" a="1"/>
  <c r="L236" i="2" s="1"/>
  <c r="M235" i="2"/>
  <c r="L235" i="2" a="1"/>
  <c r="L235" i="2" s="1"/>
  <c r="M234" i="2"/>
  <c r="L234" i="2" a="1"/>
  <c r="L234" i="2" s="1"/>
  <c r="M233" i="2"/>
  <c r="L233" i="2"/>
  <c r="L233" i="2" a="1"/>
  <c r="M232" i="2"/>
  <c r="L232" i="2" a="1"/>
  <c r="L232" i="2" s="1"/>
  <c r="M231" i="2"/>
  <c r="L231" i="2" a="1"/>
  <c r="L231" i="2" s="1"/>
  <c r="M230" i="2"/>
  <c r="L230" i="2" a="1"/>
  <c r="L230" i="2" s="1"/>
  <c r="M229" i="2"/>
  <c r="L229" i="2" a="1"/>
  <c r="L229" i="2" s="1"/>
  <c r="M228" i="2"/>
  <c r="L228" i="2"/>
  <c r="L228" i="2" a="1"/>
  <c r="M227" i="2"/>
  <c r="L227" i="2" a="1"/>
  <c r="L227" i="2" s="1"/>
  <c r="M226" i="2"/>
  <c r="L226" i="2" a="1"/>
  <c r="L226" i="2" s="1"/>
  <c r="M225" i="2"/>
  <c r="L225" i="2"/>
  <c r="L225" i="2" a="1"/>
  <c r="M224" i="2"/>
  <c r="L224" i="2" a="1"/>
  <c r="L224" i="2" s="1"/>
  <c r="M223" i="2"/>
  <c r="L223" i="2" a="1"/>
  <c r="L223" i="2" s="1"/>
  <c r="M222" i="2"/>
  <c r="L222" i="2" a="1"/>
  <c r="L222" i="2" s="1"/>
  <c r="M221" i="2"/>
  <c r="L221" i="2" a="1"/>
  <c r="L221" i="2" s="1"/>
  <c r="M220" i="2"/>
  <c r="L220" i="2" a="1"/>
  <c r="L220" i="2" s="1"/>
  <c r="M219" i="2"/>
  <c r="L219" i="2" a="1"/>
  <c r="L219" i="2" s="1"/>
  <c r="M218" i="2"/>
  <c r="L218" i="2"/>
  <c r="L218" i="2" a="1"/>
  <c r="M217" i="2"/>
  <c r="L217" i="2" a="1"/>
  <c r="L217" i="2" s="1"/>
  <c r="M216" i="2"/>
  <c r="L216" i="2" a="1"/>
  <c r="L216" i="2" s="1"/>
  <c r="M215" i="2"/>
  <c r="L215" i="2" a="1"/>
  <c r="L215" i="2" s="1"/>
  <c r="M214" i="2"/>
  <c r="L214" i="2" a="1"/>
  <c r="L214" i="2" s="1"/>
  <c r="M213" i="2"/>
  <c r="L213" i="2" a="1"/>
  <c r="L213" i="2" s="1"/>
  <c r="M212" i="2"/>
  <c r="L212" i="2"/>
  <c r="L212" i="2" a="1"/>
  <c r="M211" i="2"/>
  <c r="L211" i="2" a="1"/>
  <c r="L211" i="2" s="1"/>
  <c r="M210" i="2"/>
  <c r="L210" i="2" a="1"/>
  <c r="L210" i="2" s="1"/>
  <c r="M209" i="2"/>
  <c r="L209" i="2" a="1"/>
  <c r="L209" i="2" s="1"/>
  <c r="M208" i="2"/>
  <c r="L208" i="2" a="1"/>
  <c r="L208" i="2" s="1"/>
  <c r="M207" i="2"/>
  <c r="L207" i="2" a="1"/>
  <c r="L207" i="2" s="1"/>
  <c r="M206" i="2"/>
  <c r="L206" i="2"/>
  <c r="L206" i="2" a="1"/>
  <c r="M205" i="2"/>
  <c r="L205" i="2"/>
  <c r="L205" i="2" a="1"/>
  <c r="M204" i="2"/>
  <c r="L204" i="2" a="1"/>
  <c r="L204" i="2" s="1"/>
  <c r="M203" i="2"/>
  <c r="L203" i="2" a="1"/>
  <c r="L203" i="2" s="1"/>
  <c r="M202" i="2"/>
  <c r="L202" i="2"/>
  <c r="L202" i="2" a="1"/>
  <c r="M201" i="2"/>
  <c r="L201" i="2" a="1"/>
  <c r="L201" i="2" s="1"/>
  <c r="M200" i="2"/>
  <c r="L200" i="2" a="1"/>
  <c r="L200" i="2" s="1"/>
  <c r="M199" i="2"/>
  <c r="L199" i="2" a="1"/>
  <c r="L199" i="2" s="1"/>
  <c r="M198" i="2"/>
  <c r="L198" i="2" a="1"/>
  <c r="L198" i="2" s="1"/>
  <c r="M197" i="2"/>
  <c r="L197" i="2" a="1"/>
  <c r="L197" i="2" s="1"/>
  <c r="M196" i="2"/>
  <c r="L196" i="2" a="1"/>
  <c r="L196" i="2" s="1"/>
  <c r="M195" i="2"/>
  <c r="L195" i="2" a="1"/>
  <c r="L195" i="2" s="1"/>
  <c r="M194" i="2"/>
  <c r="L194" i="2" a="1"/>
  <c r="L194" i="2" s="1"/>
  <c r="M193" i="2"/>
  <c r="L193" i="2"/>
  <c r="L193" i="2" a="1"/>
  <c r="M192" i="2"/>
  <c r="L192" i="2"/>
  <c r="L192" i="2" a="1"/>
  <c r="M191" i="2"/>
  <c r="L191" i="2" a="1"/>
  <c r="L191" i="2" s="1"/>
  <c r="M190" i="2"/>
  <c r="L190" i="2"/>
  <c r="L190" i="2" a="1"/>
  <c r="M189" i="2"/>
  <c r="L189" i="2"/>
  <c r="L189" i="2" a="1"/>
  <c r="M188" i="2"/>
  <c r="L188" i="2" a="1"/>
  <c r="L188" i="2" s="1"/>
  <c r="M187" i="2"/>
  <c r="L187" i="2" a="1"/>
  <c r="L187" i="2" s="1"/>
  <c r="M186" i="2"/>
  <c r="L186" i="2" a="1"/>
  <c r="L186" i="2" s="1"/>
  <c r="M185" i="2"/>
  <c r="L185" i="2" a="1"/>
  <c r="L185" i="2" s="1"/>
  <c r="M184" i="2"/>
  <c r="L184" i="2" a="1"/>
  <c r="L184" i="2" s="1"/>
  <c r="M183" i="2"/>
  <c r="L183" i="2" a="1"/>
  <c r="L183" i="2" s="1"/>
  <c r="M182" i="2"/>
  <c r="L182" i="2" a="1"/>
  <c r="L182" i="2" s="1"/>
  <c r="M181" i="2"/>
  <c r="L181" i="2" a="1"/>
  <c r="L181" i="2" s="1"/>
  <c r="M180" i="2"/>
  <c r="L180" i="2"/>
  <c r="L180" i="2" a="1"/>
  <c r="M179" i="2"/>
  <c r="L179" i="2" a="1"/>
  <c r="L179" i="2" s="1"/>
  <c r="M178" i="2"/>
  <c r="L178" i="2" a="1"/>
  <c r="L178" i="2" s="1"/>
  <c r="M177" i="2"/>
  <c r="L177" i="2"/>
  <c r="L177" i="2" a="1"/>
  <c r="M176" i="2"/>
  <c r="L176" i="2" a="1"/>
  <c r="L176" i="2" s="1"/>
  <c r="M175" i="2"/>
  <c r="L175" i="2" a="1"/>
  <c r="L175" i="2" s="1"/>
  <c r="M174" i="2"/>
  <c r="L174" i="2" a="1"/>
  <c r="L174" i="2" s="1"/>
  <c r="M173" i="2"/>
  <c r="L173" i="2" a="1"/>
  <c r="L173" i="2" s="1"/>
  <c r="M172" i="2"/>
  <c r="L172" i="2" a="1"/>
  <c r="L172" i="2" s="1"/>
  <c r="M171" i="2"/>
  <c r="L171" i="2" a="1"/>
  <c r="L171" i="2" s="1"/>
  <c r="M170" i="2"/>
  <c r="L170" i="2"/>
  <c r="L170" i="2" a="1"/>
  <c r="M169" i="2"/>
  <c r="L169" i="2" a="1"/>
  <c r="L169" i="2" s="1"/>
  <c r="M168" i="2"/>
  <c r="L168" i="2" a="1"/>
  <c r="L168" i="2" s="1"/>
  <c r="M167" i="2"/>
  <c r="L167" i="2" a="1"/>
  <c r="L167" i="2" s="1"/>
  <c r="M166" i="2"/>
  <c r="L166" i="2" a="1"/>
  <c r="L166" i="2" s="1"/>
  <c r="M165" i="2"/>
  <c r="L165" i="2" a="1"/>
  <c r="L165" i="2" s="1"/>
  <c r="M164" i="2"/>
  <c r="L164" i="2"/>
  <c r="L164" i="2" a="1"/>
  <c r="M163" i="2"/>
  <c r="L163" i="2" a="1"/>
  <c r="L163" i="2" s="1"/>
  <c r="M162" i="2"/>
  <c r="L162" i="2" a="1"/>
  <c r="L162" i="2" s="1"/>
  <c r="M161" i="2"/>
  <c r="L161" i="2" a="1"/>
  <c r="L161" i="2" s="1"/>
  <c r="M160" i="2"/>
  <c r="L160" i="2" a="1"/>
  <c r="L160" i="2" s="1"/>
  <c r="M159" i="2"/>
  <c r="L159" i="2" a="1"/>
  <c r="L159" i="2" s="1"/>
  <c r="M158" i="2"/>
  <c r="L158" i="2"/>
  <c r="L158" i="2" a="1"/>
  <c r="M157" i="2"/>
  <c r="L157" i="2"/>
  <c r="L157" i="2" a="1"/>
  <c r="M156" i="2"/>
  <c r="L156" i="2" a="1"/>
  <c r="L156" i="2" s="1"/>
  <c r="M155" i="2"/>
  <c r="L155" i="2" a="1"/>
  <c r="L155" i="2" s="1"/>
  <c r="M154" i="2"/>
  <c r="L154" i="2"/>
  <c r="L154" i="2" a="1"/>
  <c r="M153" i="2"/>
  <c r="L153" i="2" a="1"/>
  <c r="L153" i="2" s="1"/>
  <c r="M152" i="2"/>
  <c r="L152" i="2" a="1"/>
  <c r="L152" i="2" s="1"/>
  <c r="M151" i="2"/>
  <c r="L151" i="2" a="1"/>
  <c r="L151" i="2" s="1"/>
  <c r="M150" i="2"/>
  <c r="L150" i="2" a="1"/>
  <c r="L150" i="2" s="1"/>
  <c r="M149" i="2"/>
  <c r="L149" i="2" a="1"/>
  <c r="L149" i="2" s="1"/>
  <c r="M148" i="2"/>
  <c r="L148" i="2" a="1"/>
  <c r="L148" i="2" s="1"/>
  <c r="M147" i="2"/>
  <c r="L147" i="2" a="1"/>
  <c r="L147" i="2" s="1"/>
  <c r="M146" i="2"/>
  <c r="L146" i="2" a="1"/>
  <c r="L146" i="2" s="1"/>
  <c r="M145" i="2"/>
  <c r="L145" i="2"/>
  <c r="L145" i="2" a="1"/>
  <c r="M144" i="2"/>
  <c r="L144" i="2"/>
  <c r="L144" i="2" a="1"/>
  <c r="M143" i="2"/>
  <c r="L143" i="2" a="1"/>
  <c r="L143" i="2" s="1"/>
  <c r="M142" i="2"/>
  <c r="L142" i="2"/>
  <c r="L142" i="2" a="1"/>
  <c r="M141" i="2"/>
  <c r="L141" i="2"/>
  <c r="L141" i="2" a="1"/>
  <c r="M140" i="2"/>
  <c r="L140" i="2" a="1"/>
  <c r="L140" i="2" s="1"/>
  <c r="M139" i="2"/>
  <c r="L139" i="2" a="1"/>
  <c r="L139" i="2" s="1"/>
  <c r="M138" i="2"/>
  <c r="L138" i="2" a="1"/>
  <c r="L138" i="2" s="1"/>
  <c r="M137" i="2"/>
  <c r="L137" i="2" a="1"/>
  <c r="L137" i="2" s="1"/>
  <c r="M136" i="2"/>
  <c r="L136" i="2" a="1"/>
  <c r="L136" i="2" s="1"/>
  <c r="M135" i="2"/>
  <c r="L135" i="2" a="1"/>
  <c r="L135" i="2" s="1"/>
  <c r="M134" i="2"/>
  <c r="L134" i="2" a="1"/>
  <c r="L134" i="2" s="1"/>
  <c r="M133" i="2"/>
  <c r="L133" i="2" a="1"/>
  <c r="L133" i="2" s="1"/>
  <c r="M132" i="2"/>
  <c r="L132" i="2"/>
  <c r="L132" i="2" a="1"/>
  <c r="M131" i="2"/>
  <c r="L131" i="2" a="1"/>
  <c r="L131" i="2" s="1"/>
  <c r="M130" i="2"/>
  <c r="L130" i="2" a="1"/>
  <c r="L130" i="2" s="1"/>
  <c r="M129" i="2"/>
  <c r="L129" i="2"/>
  <c r="L129" i="2" a="1"/>
  <c r="M128" i="2"/>
  <c r="L128" i="2"/>
  <c r="L128" i="2" a="1"/>
  <c r="M127" i="2"/>
  <c r="L127" i="2" a="1"/>
  <c r="L127" i="2" s="1"/>
  <c r="M126" i="2"/>
  <c r="L126" i="2" a="1"/>
  <c r="L126" i="2" s="1"/>
  <c r="M125" i="2"/>
  <c r="L125" i="2" a="1"/>
  <c r="L125" i="2" s="1"/>
  <c r="M124" i="2"/>
  <c r="L124" i="2" a="1"/>
  <c r="L124" i="2" s="1"/>
  <c r="M123" i="2"/>
  <c r="L123" i="2" a="1"/>
  <c r="L123" i="2" s="1"/>
  <c r="M122" i="2"/>
  <c r="L122" i="2" a="1"/>
  <c r="L122" i="2" s="1"/>
  <c r="M121" i="2"/>
  <c r="L121" i="2" a="1"/>
  <c r="L121" i="2" s="1"/>
  <c r="M120" i="2"/>
  <c r="L120" i="2" a="1"/>
  <c r="L120" i="2" s="1"/>
  <c r="M119" i="2"/>
  <c r="L119" i="2" a="1"/>
  <c r="L119" i="2" s="1"/>
  <c r="M118" i="2"/>
  <c r="L118" i="2" a="1"/>
  <c r="L118" i="2" s="1"/>
  <c r="M117" i="2"/>
  <c r="L117" i="2" a="1"/>
  <c r="L117" i="2" s="1"/>
  <c r="M116" i="2"/>
  <c r="L116" i="2" a="1"/>
  <c r="L116" i="2" s="1"/>
  <c r="M115" i="2"/>
  <c r="L115" i="2" a="1"/>
  <c r="L115" i="2" s="1"/>
  <c r="M114" i="2"/>
  <c r="L114" i="2" a="1"/>
  <c r="L114" i="2" s="1"/>
  <c r="M113" i="2"/>
  <c r="L113" i="2" a="1"/>
  <c r="L113" i="2" s="1"/>
  <c r="M112" i="2"/>
  <c r="L112" i="2" a="1"/>
  <c r="L112" i="2" s="1"/>
  <c r="M111" i="2"/>
  <c r="L111" i="2" a="1"/>
  <c r="L111" i="2" s="1"/>
  <c r="M110" i="2"/>
  <c r="L110" i="2" a="1"/>
  <c r="L110" i="2" s="1"/>
  <c r="M109" i="2"/>
  <c r="L109" i="2" a="1"/>
  <c r="L109" i="2" s="1"/>
  <c r="M108" i="2"/>
  <c r="L108" i="2" a="1"/>
  <c r="L108" i="2" s="1"/>
  <c r="M107" i="2"/>
  <c r="L107" i="2" a="1"/>
  <c r="L107" i="2" s="1"/>
  <c r="M106" i="2"/>
  <c r="L106" i="2" a="1"/>
  <c r="L106" i="2" s="1"/>
  <c r="M105" i="2"/>
  <c r="L105" i="2" a="1"/>
  <c r="L105" i="2" s="1"/>
  <c r="M104" i="2"/>
  <c r="L104" i="2" a="1"/>
  <c r="L104" i="2" s="1"/>
  <c r="M103" i="2"/>
  <c r="L103" i="2" a="1"/>
  <c r="L103" i="2" s="1"/>
  <c r="M102" i="2"/>
  <c r="L102" i="2" a="1"/>
  <c r="L102" i="2" s="1"/>
  <c r="M101" i="2"/>
  <c r="L101" i="2" a="1"/>
  <c r="L101" i="2" s="1"/>
  <c r="M100" i="2"/>
  <c r="L100" i="2" a="1"/>
  <c r="L100" i="2" s="1"/>
  <c r="M99" i="2"/>
  <c r="L99" i="2" a="1"/>
  <c r="L99" i="2" s="1"/>
  <c r="M98" i="2"/>
  <c r="L98" i="2" a="1"/>
  <c r="L98" i="2" s="1"/>
  <c r="M97" i="2"/>
  <c r="L97" i="2" a="1"/>
  <c r="L97" i="2" s="1"/>
  <c r="M96" i="2"/>
  <c r="L96" i="2" a="1"/>
  <c r="L96" i="2" s="1"/>
  <c r="M95" i="2"/>
  <c r="L95" i="2" a="1"/>
  <c r="L95" i="2" s="1"/>
  <c r="M94" i="2"/>
  <c r="L94" i="2" a="1"/>
  <c r="L94" i="2" s="1"/>
  <c r="M93" i="2"/>
  <c r="L93" i="2" a="1"/>
  <c r="L93" i="2" s="1"/>
  <c r="M92" i="2"/>
  <c r="L92" i="2" a="1"/>
  <c r="L92" i="2" s="1"/>
  <c r="M91" i="2"/>
  <c r="L91" i="2" a="1"/>
  <c r="L91" i="2" s="1"/>
  <c r="M90" i="2"/>
  <c r="L90" i="2" a="1"/>
  <c r="L90" i="2" s="1"/>
  <c r="M89" i="2"/>
  <c r="L89" i="2" a="1"/>
  <c r="L89" i="2" s="1"/>
  <c r="M88" i="2"/>
  <c r="L88" i="2" a="1"/>
  <c r="L88" i="2" s="1"/>
  <c r="M87" i="2"/>
  <c r="L87" i="2" a="1"/>
  <c r="L87" i="2" s="1"/>
  <c r="M86" i="2"/>
  <c r="L86" i="2" a="1"/>
  <c r="L86" i="2" s="1"/>
  <c r="M85" i="2"/>
  <c r="L85" i="2" a="1"/>
  <c r="L85" i="2" s="1"/>
  <c r="M84" i="2"/>
  <c r="L84" i="2" a="1"/>
  <c r="L84" i="2" s="1"/>
  <c r="M83" i="2"/>
  <c r="L83" i="2" a="1"/>
  <c r="L83" i="2" s="1"/>
  <c r="M82" i="2"/>
  <c r="L82" i="2" a="1"/>
  <c r="L82" i="2" s="1"/>
  <c r="M81" i="2"/>
  <c r="L81" i="2" a="1"/>
  <c r="L81" i="2" s="1"/>
  <c r="M80" i="2"/>
  <c r="L80" i="2" a="1"/>
  <c r="L80" i="2" s="1"/>
  <c r="M79" i="2"/>
  <c r="L79" i="2" a="1"/>
  <c r="L79" i="2" s="1"/>
  <c r="M78" i="2"/>
  <c r="L78" i="2" a="1"/>
  <c r="L78" i="2" s="1"/>
  <c r="M77" i="2"/>
  <c r="L77" i="2" a="1"/>
  <c r="L77" i="2" s="1"/>
  <c r="M76" i="2"/>
  <c r="L76" i="2" a="1"/>
  <c r="L76" i="2" s="1"/>
  <c r="M75" i="2"/>
  <c r="L75" i="2" a="1"/>
  <c r="L75" i="2" s="1"/>
  <c r="M74" i="2"/>
  <c r="L74" i="2" a="1"/>
  <c r="L74" i="2" s="1"/>
  <c r="M73" i="2"/>
  <c r="L73" i="2" a="1"/>
  <c r="L73" i="2" s="1"/>
  <c r="M72" i="2"/>
  <c r="L72" i="2" a="1"/>
  <c r="L72" i="2" s="1"/>
  <c r="M71" i="2"/>
  <c r="L71" i="2" a="1"/>
  <c r="L71" i="2" s="1"/>
  <c r="M70" i="2"/>
  <c r="L70" i="2" a="1"/>
  <c r="L70" i="2" s="1"/>
  <c r="M69" i="2"/>
  <c r="L69" i="2" a="1"/>
  <c r="L69" i="2" s="1"/>
  <c r="M68" i="2"/>
  <c r="L68" i="2" a="1"/>
  <c r="L68" i="2" s="1"/>
  <c r="M67" i="2"/>
  <c r="L67" i="2" a="1"/>
  <c r="L67" i="2" s="1"/>
  <c r="M66" i="2"/>
  <c r="L66" i="2" a="1"/>
  <c r="L66" i="2" s="1"/>
  <c r="M65" i="2"/>
  <c r="L65" i="2" a="1"/>
  <c r="L65" i="2" s="1"/>
  <c r="M64" i="2"/>
  <c r="L64" i="2" a="1"/>
  <c r="L64" i="2" s="1"/>
  <c r="M63" i="2"/>
  <c r="L63" i="2" a="1"/>
  <c r="L63" i="2" s="1"/>
  <c r="M62" i="2"/>
  <c r="L62" i="2" a="1"/>
  <c r="L62" i="2" s="1"/>
  <c r="M61" i="2"/>
  <c r="L61" i="2" a="1"/>
  <c r="L61" i="2" s="1"/>
  <c r="M60" i="2"/>
  <c r="L60" i="2" a="1"/>
  <c r="L60" i="2" s="1"/>
  <c r="M59" i="2"/>
  <c r="L59" i="2" a="1"/>
  <c r="L59" i="2" s="1"/>
  <c r="M58" i="2"/>
  <c r="L58" i="2" a="1"/>
  <c r="L58" i="2" s="1"/>
  <c r="M57" i="2"/>
  <c r="L57" i="2" a="1"/>
  <c r="L57" i="2" s="1"/>
  <c r="M56" i="2"/>
  <c r="L56" i="2" a="1"/>
  <c r="L56" i="2" s="1"/>
  <c r="M55" i="2"/>
  <c r="L55" i="2" a="1"/>
  <c r="L55" i="2" s="1"/>
  <c r="M54" i="2"/>
  <c r="L54" i="2" a="1"/>
  <c r="L54" i="2" s="1"/>
  <c r="M53" i="2"/>
  <c r="L53" i="2" a="1"/>
  <c r="L53" i="2" s="1"/>
  <c r="M52" i="2"/>
  <c r="L52" i="2" a="1"/>
  <c r="L52" i="2" s="1"/>
  <c r="M51" i="2"/>
  <c r="L51" i="2" a="1"/>
  <c r="L51" i="2" s="1"/>
  <c r="M50" i="2"/>
  <c r="L50" i="2" a="1"/>
  <c r="L50" i="2" s="1"/>
  <c r="M49" i="2"/>
  <c r="L49" i="2" a="1"/>
  <c r="L49" i="2" s="1"/>
  <c r="M48" i="2"/>
  <c r="L48" i="2" a="1"/>
  <c r="L48" i="2" s="1"/>
  <c r="M47" i="2"/>
  <c r="L47" i="2" a="1"/>
  <c r="L47" i="2" s="1"/>
  <c r="M46" i="2"/>
  <c r="L46" i="2" a="1"/>
  <c r="L46" i="2" s="1"/>
  <c r="M45" i="2"/>
  <c r="L45" i="2" a="1"/>
  <c r="L45" i="2" s="1"/>
  <c r="M44" i="2"/>
  <c r="L44" i="2" a="1"/>
  <c r="L44" i="2" s="1"/>
  <c r="M43" i="2"/>
  <c r="L43" i="2" a="1"/>
  <c r="L43" i="2" s="1"/>
  <c r="M42" i="2"/>
  <c r="L42" i="2" a="1"/>
  <c r="L42" i="2" s="1"/>
  <c r="M41" i="2"/>
  <c r="L41" i="2" a="1"/>
  <c r="L41" i="2" s="1"/>
  <c r="M40" i="2"/>
  <c r="L40" i="2" a="1"/>
  <c r="L40" i="2" s="1"/>
  <c r="M39" i="2"/>
  <c r="L39" i="2" a="1"/>
  <c r="L39" i="2" s="1"/>
  <c r="M38" i="2"/>
  <c r="L38" i="2" a="1"/>
  <c r="L38" i="2" s="1"/>
  <c r="M37" i="2"/>
  <c r="L37" i="2" a="1"/>
  <c r="L37" i="2" s="1"/>
  <c r="M36" i="2"/>
  <c r="L36" i="2" a="1"/>
  <c r="L36" i="2" s="1"/>
  <c r="M35" i="2"/>
  <c r="L35" i="2" a="1"/>
  <c r="L35" i="2" s="1"/>
  <c r="M34" i="2"/>
  <c r="L34" i="2" a="1"/>
  <c r="L34" i="2" s="1"/>
  <c r="M33" i="2"/>
  <c r="L33" i="2" a="1"/>
  <c r="L33" i="2" s="1"/>
  <c r="M32" i="2"/>
  <c r="L32" i="2" a="1"/>
  <c r="L32" i="2" s="1"/>
  <c r="M31" i="2"/>
  <c r="L31" i="2" a="1"/>
  <c r="L31" i="2" s="1"/>
  <c r="M30" i="2"/>
  <c r="L30" i="2" a="1"/>
  <c r="L30" i="2" s="1"/>
  <c r="M29" i="2"/>
  <c r="L29" i="2" a="1"/>
  <c r="L29" i="2" s="1"/>
  <c r="M28" i="2"/>
  <c r="L28" i="2" a="1"/>
  <c r="L28" i="2" s="1"/>
  <c r="M27" i="2"/>
  <c r="L27" i="2" a="1"/>
  <c r="L27" i="2" s="1"/>
  <c r="M26" i="2"/>
  <c r="L26" i="2" a="1"/>
  <c r="L26" i="2" s="1"/>
  <c r="M25" i="2"/>
  <c r="L25" i="2" a="1"/>
  <c r="L25" i="2" s="1"/>
  <c r="M24" i="2"/>
  <c r="L24" i="2" a="1"/>
  <c r="L24" i="2" s="1"/>
  <c r="M23" i="2"/>
  <c r="L23" i="2" a="1"/>
  <c r="L23" i="2" s="1"/>
  <c r="M22" i="2"/>
  <c r="L22" i="2" a="1"/>
  <c r="L22" i="2" s="1"/>
  <c r="M21" i="2"/>
  <c r="L21" i="2" a="1"/>
  <c r="L21" i="2" s="1"/>
  <c r="M20" i="2"/>
  <c r="L20" i="2" a="1"/>
  <c r="L20" i="2" s="1"/>
  <c r="M19" i="2"/>
  <c r="L19" i="2" a="1"/>
  <c r="L19" i="2" s="1"/>
  <c r="M18" i="2"/>
  <c r="L18" i="2" a="1"/>
  <c r="L18" i="2" s="1"/>
  <c r="M17" i="2"/>
  <c r="L17" i="2" a="1"/>
  <c r="L17" i="2" s="1"/>
  <c r="M16" i="2"/>
  <c r="L16" i="2" a="1"/>
  <c r="L16" i="2" s="1"/>
  <c r="M15" i="2"/>
  <c r="L15" i="2" a="1"/>
  <c r="L15" i="2" s="1"/>
  <c r="M14" i="2"/>
  <c r="L14" i="2" a="1"/>
  <c r="L14" i="2" s="1"/>
  <c r="M13" i="2"/>
  <c r="L13" i="2" a="1"/>
  <c r="L13" i="2" s="1"/>
  <c r="M12" i="2"/>
  <c r="L12" i="2" a="1"/>
  <c r="L12" i="2" s="1"/>
  <c r="M11" i="2"/>
  <c r="L11" i="2" a="1"/>
  <c r="L11" i="2" s="1"/>
  <c r="M10" i="2"/>
  <c r="L10" i="2" a="1"/>
  <c r="L10" i="2" s="1"/>
  <c r="M9" i="2"/>
  <c r="L9" i="2" a="1"/>
  <c r="L9" i="2" s="1"/>
  <c r="M8" i="2"/>
  <c r="L8" i="2" a="1"/>
  <c r="L8" i="2" s="1"/>
  <c r="M7" i="2"/>
  <c r="L7" i="2" a="1"/>
  <c r="L7" i="2" s="1"/>
  <c r="M6" i="2"/>
  <c r="L6" i="2" a="1"/>
  <c r="L6" i="2" s="1"/>
  <c r="M5" i="2"/>
  <c r="L5" i="2" a="1"/>
  <c r="L5" i="2" s="1"/>
  <c r="M4" i="2"/>
  <c r="L4" i="2" a="1"/>
  <c r="L4" i="2" s="1"/>
  <c r="M3" i="2"/>
  <c r="L3" i="2" a="1"/>
  <c r="L3" i="2" s="1"/>
  <c r="M2" i="2"/>
  <c r="L2" i="2" a="1"/>
  <c r="L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<sst xmlns="http://schemas.openxmlformats.org/spreadsheetml/2006/main" count="2854" uniqueCount="36">
  <si>
    <t>Timestamp</t>
  </si>
  <si>
    <t>Signal Strength (dBm)</t>
  </si>
  <si>
    <t>SNR</t>
  </si>
  <si>
    <t>Call Duration (s)</t>
  </si>
  <si>
    <t>Environment</t>
  </si>
  <si>
    <t>Attenuation</t>
  </si>
  <si>
    <t>Distance to Tower (km)</t>
  </si>
  <si>
    <t>Tower ID</t>
  </si>
  <si>
    <t>User ID</t>
  </si>
  <si>
    <t>Call Type</t>
  </si>
  <si>
    <t>Incoming/Outgoing</t>
  </si>
  <si>
    <t>urban</t>
  </si>
  <si>
    <t>data</t>
  </si>
  <si>
    <t>incoming</t>
  </si>
  <si>
    <t>home</t>
  </si>
  <si>
    <t>voice</t>
  </si>
  <si>
    <t>open</t>
  </si>
  <si>
    <t>outgoing</t>
  </si>
  <si>
    <t>suburban</t>
  </si>
  <si>
    <t>2022-02-29 12:08:52</t>
  </si>
  <si>
    <t>Signal Strength</t>
  </si>
  <si>
    <t>Signal Status</t>
  </si>
  <si>
    <t>Row Labels</t>
  </si>
  <si>
    <t>Excellent</t>
  </si>
  <si>
    <t>Fair</t>
  </si>
  <si>
    <t>Good</t>
  </si>
  <si>
    <t>Poor</t>
  </si>
  <si>
    <t>Grand Total</t>
  </si>
  <si>
    <t>Average of Signal Strength (dBm)</t>
  </si>
  <si>
    <t>Average of Attenuation</t>
  </si>
  <si>
    <t>Sum of Call Duration (s)</t>
  </si>
  <si>
    <t>Average of Call Duration (s)</t>
  </si>
  <si>
    <t>Count of Signal Strength</t>
  </si>
  <si>
    <t>Count of Tower ID</t>
  </si>
  <si>
    <t>Column Labels</t>
  </si>
  <si>
    <t>Dashboard Operasional NOC Witel JTT: Pemantauan Performa &amp; Anomali Jaringan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</si>
</sst>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center"/>
    </xf>
    <xf numFmtId="0" fontId="0" fillId="0" borderId="0" xfId="0" pivotButton="1"/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</c:pivotFmt>
      <c:pivotFmt>
        <c:idx val="2"/>
        <c:spPr>
          <a:solidFill>
            <a:srgbClr val="92D050"/>
          </a:solidFill>
          <a:ln>
            <a:noFill/>
          </a:ln>
          <a:effectLst/>
        </c:spPr>
      </c:pivotFmt>
      <c:pivotFmt>
        <c:idx val="3"/>
        <c:spPr>
          <a:solidFill>
            <a:srgbClr val="00B0F0"/>
          </a:solidFill>
          <a:ln>
            <a:noFill/>
          </a:ln>
          <a:effectLst/>
        </c:spPr>
      </c:pivotFmt>
      <c:pivotFmt>
        <c:idx val="4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'Feature Enginering'!$P$3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9C-47B7-A9C8-5ED4ACB2AB4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59C-47B7-A9C8-5ED4ACB2AB47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9C-47B7-A9C8-5ED4ACB2AB47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59C-47B7-A9C8-5ED4ACB2AB47}"/>
              </c:ext>
            </c:extLst>
          </c:dPt>
          <c:cat>
            <c:strRef>
              <c:f>'Feature Enginering'!$O$4:$O$8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'Feature Enginering'!$P$4:$P$8</c:f>
              <c:numCache>
                <c:formatCode>General</c:formatCode>
                <c:ptCount val="4"/>
                <c:pt idx="0">
                  <c:v>907.78346452910318</c:v>
                </c:pt>
                <c:pt idx="1">
                  <c:v>804.90083022672582</c:v>
                </c:pt>
                <c:pt idx="2">
                  <c:v>802.15690460242968</c:v>
                </c:pt>
                <c:pt idx="3">
                  <c:v>941.51327468113425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C-47B7-A9C8-5ED4ACB2A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8956511"/>
        <c:axId val="568957471"/>
      </c:barChart>
      <c:catAx>
        <c:axId val="568956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57471"/>
        <c:crosses val="autoZero"/>
        <c:auto val="1"/>
        <c:lblAlgn val="ctr"/>
        <c:lblOffset val="100"/>
        <c:noMultiLvlLbl val="0"/>
      </c:catAx>
      <c:valAx>
        <c:axId val="56895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5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'Feature Enginering'!$S$3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'Feature Enginering'!$R$4:$R$14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'Feature Enginering'!$S$4:$S$14</c:f>
              <c:numCache>
                <c:formatCode>General</c:formatCode>
                <c:ptCount val="10"/>
                <c:pt idx="0">
                  <c:v>6994.1853443996679</c:v>
                </c:pt>
                <c:pt idx="1">
                  <c:v>14926.515625567043</c:v>
                </c:pt>
                <c:pt idx="2">
                  <c:v>7051.3742564071326</c:v>
                </c:pt>
                <c:pt idx="3">
                  <c:v>7928.9566800316998</c:v>
                </c:pt>
                <c:pt idx="4">
                  <c:v>9453.2145434198355</c:v>
                </c:pt>
                <c:pt idx="5">
                  <c:v>19223.853335246702</c:v>
                </c:pt>
                <c:pt idx="6">
                  <c:v>13205.257928473795</c:v>
                </c:pt>
                <c:pt idx="7">
                  <c:v>13211.992676563284</c:v>
                </c:pt>
                <c:pt idx="8">
                  <c:v>8218.7002307479324</c:v>
                </c:pt>
                <c:pt idx="9">
                  <c:v>3410.1285665153246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3-48A3-9E94-F002B504D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466063"/>
        <c:axId val="2104462703"/>
      </c:barChart>
      <c:catAx>
        <c:axId val="210446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62703"/>
        <c:crosses val="autoZero"/>
        <c:auto val="1"/>
        <c:lblAlgn val="ctr"/>
        <c:lblOffset val="100"/>
        <c:noMultiLvlLbl val="0"/>
      </c:catAx>
      <c:valAx>
        <c:axId val="21044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6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Enginering!PivotTable16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'Feature Enginering'!$V$3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'Feature Enginering'!$U$4:$U$14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'Feature Enginering'!$V$4:$V$14</c:f>
              <c:numCache>
                <c:formatCode>General</c:formatCode>
                <c:ptCount val="10"/>
                <c:pt idx="0">
                  <c:v>-88.61932678178654</c:v>
                </c:pt>
                <c:pt idx="1">
                  <c:v>-84.025606113980373</c:v>
                </c:pt>
                <c:pt idx="2">
                  <c:v>-80.121046812125812</c:v>
                </c:pt>
                <c:pt idx="3">
                  <c:v>-94.430105179316101</c:v>
                </c:pt>
                <c:pt idx="4">
                  <c:v>-90.247850363236466</c:v>
                </c:pt>
                <c:pt idx="5">
                  <c:v>-83.027497963136284</c:v>
                </c:pt>
                <c:pt idx="6">
                  <c:v>-80.75349381537265</c:v>
                </c:pt>
                <c:pt idx="7">
                  <c:v>-79.515145284889883</c:v>
                </c:pt>
                <c:pt idx="8">
                  <c:v>-79.477288057775596</c:v>
                </c:pt>
                <c:pt idx="9">
                  <c:v>-82.034403847715552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D-4E0D-A4E8-B8AB5508B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072303"/>
        <c:axId val="553072783"/>
      </c:barChart>
      <c:catAx>
        <c:axId val="553072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072783"/>
        <c:crosses val="autoZero"/>
        <c:auto val="1"/>
        <c:lblAlgn val="ctr"/>
        <c:lblOffset val="100"/>
        <c:noMultiLvlLbl val="0"/>
      </c:catAx>
      <c:valAx>
        <c:axId val="55307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072303"/>
        <c:crosses val="autoZero"/>
        <c:crossBetween val="between"/>
      </c:valAx>
      <c:dTable>
        <c:showHorzBorder val="0"/>
        <c:showVertBorder val="0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'Feature Enginering'!$Y$3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'Feature Enginering'!$X$4:$X$8</c:f>
              <c:strCache>
                <c:ptCount val="4"/>
                <c:pt idx="0">
                  <c:v>home</c:v>
                </c:pt>
                <c:pt idx="1">
                  <c:v>open</c:v>
                </c:pt>
                <c:pt idx="2">
                  <c:v>suburban</c:v>
                </c:pt>
                <c:pt idx="3">
                  <c:v>urban</c:v>
                </c:pt>
              </c:strCache>
            </c:strRef>
          </c:cat>
          <c:val>
            <c:numRef>
              <c:f>'Feature Enginering'!$Y$4:$Y$8</c:f>
              <c:numCache>
                <c:formatCode>General</c:formatCode>
                <c:ptCount val="4"/>
                <c:pt idx="0">
                  <c:v>-79.520206825169367</c:v>
                </c:pt>
                <c:pt idx="1">
                  <c:v>-84.034711907502015</c:v>
                </c:pt>
                <c:pt idx="2">
                  <c:v>-85.803725525956949</c:v>
                </c:pt>
                <c:pt idx="3">
                  <c:v>-90.603063135926959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8-4B45-BADC-4CE11CD0B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938751"/>
        <c:axId val="579940671"/>
      </c:barChart>
      <c:catAx>
        <c:axId val="579938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40671"/>
        <c:crosses val="autoZero"/>
        <c:auto val="1"/>
        <c:lblAlgn val="ctr"/>
        <c:lblOffset val="100"/>
        <c:noMultiLvlLbl val="0"/>
      </c:catAx>
      <c:valAx>
        <c:axId val="5799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38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Enginering!PivotTable19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'Feature Enginering'!$AB$3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'Feature Enginering'!$AA$4:$AA$8</c:f>
              <c:strCache>
                <c:ptCount val="4"/>
                <c:pt idx="0">
                  <c:v>home</c:v>
                </c:pt>
                <c:pt idx="1">
                  <c:v>open</c:v>
                </c:pt>
                <c:pt idx="2">
                  <c:v>suburban</c:v>
                </c:pt>
                <c:pt idx="3">
                  <c:v>urban</c:v>
                </c:pt>
              </c:strCache>
            </c:strRef>
          </c:cat>
          <c:val>
            <c:numRef>
              <c:f>'Feature Enginering'!$AB$4:$AB$8</c:f>
              <c:numCache>
                <c:formatCode>General</c:formatCode>
                <c:ptCount val="4"/>
                <c:pt idx="0">
                  <c:v>5.198299948346083</c:v>
                </c:pt>
                <c:pt idx="1">
                  <c:v>2.5475608453023235</c:v>
                </c:pt>
                <c:pt idx="2">
                  <c:v>4.8851696874446784</c:v>
                </c:pt>
                <c:pt idx="3">
                  <c:v>9.7507855896413034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F-47AA-AC33-43C832874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4259567"/>
        <c:axId val="1944259087"/>
      </c:barChart>
      <c:catAx>
        <c:axId val="1944259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259087"/>
        <c:crosses val="autoZero"/>
        <c:auto val="1"/>
        <c:lblAlgn val="ctr"/>
        <c:lblOffset val="100"/>
        <c:noMultiLvlLbl val="0"/>
      </c:catAx>
      <c:valAx>
        <c:axId val="194425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'Feature Enginering'!$AE$3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AA-4458-B789-DBC6773264F0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5AA-4458-B789-DBC6773264F0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5AA-4458-B789-DBC6773264F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AA-4458-B789-DBC6773264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'Feature Enginering'!$AD$4:$AD$8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'Feature Enginering'!$AE$4:$AE$8</c:f>
              <c:numCache>
                <c:formatCode>General</c:formatCode>
                <c:ptCount val="4"/>
                <c:pt idx="0">
                  <c:v>184</c:v>
                </c:pt>
                <c:pt idx="1">
                  <c:v>113</c:v>
                </c:pt>
                <c:pt idx="2">
                  <c:v>151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A-4458-B789-DBC677326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Enginering!PivotTable2</c:name>
    <c:fmtId val="4"/>
  </c:pivotSource>
  <c:chart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'Feature Enginering'!$AH$3:$AH$4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'Feature Enginering'!$AG$5:$AG$15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'Feature Enginering'!$AH$5:$AH$15</c:f>
              <c:numCache>
                <c:formatCode>General</c:formatCode>
                <c:ptCount val="10"/>
                <c:pt idx="0">
                  <c:v>19</c:v>
                </c:pt>
                <c:pt idx="1">
                  <c:v>15</c:v>
                </c:pt>
                <c:pt idx="2">
                  <c:v>15</c:v>
                </c:pt>
                <c:pt idx="3">
                  <c:v>12</c:v>
                </c:pt>
                <c:pt idx="4">
                  <c:v>21</c:v>
                </c:pt>
                <c:pt idx="5">
                  <c:v>21</c:v>
                </c:pt>
                <c:pt idx="6">
                  <c:v>24</c:v>
                </c:pt>
                <c:pt idx="7">
                  <c:v>20</c:v>
                </c:pt>
                <c:pt idx="8">
                  <c:v>21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9-4DB7-BB93-78F96978515D}"/>
            </c:ext>
          </c:extLst>
        </c:ser>
        <c:ser>
          <c:idx val="1"/>
          <c:order val="1"/>
          <c:tx>
            <c:strRef>
              <c:f>'Feature Enginering'!$AI$3:$AI$4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'Feature Enginering'!$AG$5:$AG$15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'Feature Enginering'!$AI$5:$AI$15</c:f>
              <c:numCache>
                <c:formatCode>General</c:formatCode>
                <c:ptCount val="10"/>
                <c:pt idx="0">
                  <c:v>10</c:v>
                </c:pt>
                <c:pt idx="1">
                  <c:v>14</c:v>
                </c:pt>
                <c:pt idx="2">
                  <c:v>6</c:v>
                </c:pt>
                <c:pt idx="3">
                  <c:v>15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8</c:v>
                </c:pt>
                <c:pt idx="8">
                  <c:v>13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99-4DB7-BB93-78F96978515D}"/>
            </c:ext>
          </c:extLst>
        </c:ser>
        <c:ser>
          <c:idx val="2"/>
          <c:order val="2"/>
          <c:tx>
            <c:strRef>
              <c:f>'Feature Enginering'!$AJ$3:$AJ$4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'Feature Enginering'!$AG$5:$AG$15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'Feature Enginering'!$AJ$5:$AJ$15</c:f>
              <c:numCache>
                <c:formatCode>General</c:formatCode>
                <c:ptCount val="10"/>
                <c:pt idx="0">
                  <c:v>11</c:v>
                </c:pt>
                <c:pt idx="1">
                  <c:v>23</c:v>
                </c:pt>
                <c:pt idx="2">
                  <c:v>16</c:v>
                </c:pt>
                <c:pt idx="3">
                  <c:v>12</c:v>
                </c:pt>
                <c:pt idx="4">
                  <c:v>19</c:v>
                </c:pt>
                <c:pt idx="5">
                  <c:v>14</c:v>
                </c:pt>
                <c:pt idx="6">
                  <c:v>16</c:v>
                </c:pt>
                <c:pt idx="7">
                  <c:v>20</c:v>
                </c:pt>
                <c:pt idx="8">
                  <c:v>11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99-4DB7-BB93-78F96978515D}"/>
            </c:ext>
          </c:extLst>
        </c:ser>
        <c:ser>
          <c:idx val="3"/>
          <c:order val="3"/>
          <c:tx>
            <c:strRef>
              <c:f>'Feature Enginering'!$AK$3:$AK$4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'Feature Enginering'!$AG$5:$AG$15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'Feature Enginering'!$AK$5:$AK$15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99-4DB7-BB93-78F969785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190128"/>
        <c:axId val="453188688"/>
      </c:barChart>
      <c:catAx>
        <c:axId val="45319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88688"/>
        <c:crosses val="autoZero"/>
        <c:auto val="1"/>
        <c:lblAlgn val="ctr"/>
        <c:lblOffset val="100"/>
        <c:noMultiLvlLbl val="0"/>
      </c:catAx>
      <c:valAx>
        <c:axId val="45318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901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Rata Rata Durasi Telpon Pada Setiap Jaringan</a:t>
            </a:r>
            <a:endParaRPr lang="en-US"/>
          </a:p>
        </c:rich>
      </c:tx>
      <c:layout>
        <c:manualLayout>
          <c:xMode val="edge"/>
          <c:yMode val="edge"/>
          <c:x val="0.16824561403508773"/>
          <c:y val="0.21782022114296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</c:pivotFmt>
      <c:pivotFmt>
        <c:idx val="2"/>
        <c:spPr>
          <a:solidFill>
            <a:srgbClr val="92D050"/>
          </a:solidFill>
          <a:ln>
            <a:noFill/>
          </a:ln>
          <a:effectLst/>
        </c:spPr>
      </c:pivotFmt>
      <c:pivotFmt>
        <c:idx val="3"/>
        <c:spPr>
          <a:solidFill>
            <a:srgbClr val="00B0F0"/>
          </a:solidFill>
          <a:ln>
            <a:noFill/>
          </a:ln>
          <a:effectLst/>
        </c:spPr>
      </c:pivotFmt>
      <c:pivotFmt>
        <c:idx val="4"/>
        <c:spPr>
          <a:solidFill>
            <a:srgbClr val="7030A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  <c:pivotFmt>
        <c:idx val="8"/>
        <c:spPr>
          <a:solidFill>
            <a:srgbClr val="92D050"/>
          </a:solidFill>
          <a:ln>
            <a:noFill/>
          </a:ln>
          <a:effectLst/>
        </c:spPr>
      </c:pivotFmt>
      <c:pivotFmt>
        <c:idx val="9"/>
        <c:spPr>
          <a:solidFill>
            <a:srgbClr val="FFC000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F0"/>
          </a:solidFill>
          <a:ln>
            <a:noFill/>
          </a:ln>
          <a:effectLst/>
        </c:spPr>
      </c:pivotFmt>
      <c:pivotFmt>
        <c:idx val="12"/>
        <c:spPr>
          <a:solidFill>
            <a:srgbClr val="92D050"/>
          </a:solidFill>
          <a:ln>
            <a:noFill/>
          </a:ln>
          <a:effectLst/>
        </c:spPr>
      </c:pivotFmt>
      <c:pivotFmt>
        <c:idx val="13"/>
        <c:spPr>
          <a:solidFill>
            <a:srgbClr val="FFC000"/>
          </a:solidFill>
          <a:ln>
            <a:noFill/>
          </a:ln>
          <a:effectLst/>
        </c:spPr>
      </c:pivotFmt>
      <c:pivotFmt>
        <c:idx val="14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'Feature Enginering'!$P$3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CE-47A4-8A0C-ADF3D6DA4D26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CE-47A4-8A0C-ADF3D6DA4D26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CE-47A4-8A0C-ADF3D6DA4D26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CE-47A4-8A0C-ADF3D6DA4D26}"/>
              </c:ext>
            </c:extLst>
          </c:dPt>
          <c:cat>
            <c:strRef>
              <c:f>'Feature Enginering'!$O$4:$O$8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'Feature Enginering'!$P$4:$P$8</c:f>
              <c:numCache>
                <c:formatCode>General</c:formatCode>
                <c:ptCount val="4"/>
                <c:pt idx="0">
                  <c:v>907.78346452910318</c:v>
                </c:pt>
                <c:pt idx="1">
                  <c:v>804.90083022672582</c:v>
                </c:pt>
                <c:pt idx="2">
                  <c:v>802.15690460242968</c:v>
                </c:pt>
                <c:pt idx="3">
                  <c:v>941.51327468113425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CE-47A4-8A0C-ADF3D6DA4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8956511"/>
        <c:axId val="568957471"/>
      </c:barChart>
      <c:catAx>
        <c:axId val="568956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57471"/>
        <c:crosses val="autoZero"/>
        <c:auto val="1"/>
        <c:lblAlgn val="ctr"/>
        <c:lblOffset val="100"/>
        <c:noMultiLvlLbl val="0"/>
      </c:catAx>
      <c:valAx>
        <c:axId val="56895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5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Enginering!PivotTable15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Benchmarking Performa Site: Beban Trafik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'Feature Enginering'!$S$3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'Feature Enginering'!$R$4:$R$14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'Feature Enginering'!$S$4:$S$14</c:f>
              <c:numCache>
                <c:formatCode>General</c:formatCode>
                <c:ptCount val="10"/>
                <c:pt idx="0">
                  <c:v>6994.1853443996679</c:v>
                </c:pt>
                <c:pt idx="1">
                  <c:v>14926.515625567043</c:v>
                </c:pt>
                <c:pt idx="2">
                  <c:v>7051.3742564071326</c:v>
                </c:pt>
                <c:pt idx="3">
                  <c:v>7928.9566800316998</c:v>
                </c:pt>
                <c:pt idx="4">
                  <c:v>9453.2145434198355</c:v>
                </c:pt>
                <c:pt idx="5">
                  <c:v>19223.853335246702</c:v>
                </c:pt>
                <c:pt idx="6">
                  <c:v>13205.257928473795</c:v>
                </c:pt>
                <c:pt idx="7">
                  <c:v>13211.992676563284</c:v>
                </c:pt>
                <c:pt idx="8">
                  <c:v>8218.7002307479324</c:v>
                </c:pt>
                <c:pt idx="9">
                  <c:v>3410.1285665153246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5-446B-847C-748DAC722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466063"/>
        <c:axId val="2104462703"/>
      </c:barChart>
      <c:catAx>
        <c:axId val="210446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62703"/>
        <c:crosses val="autoZero"/>
        <c:auto val="1"/>
        <c:lblAlgn val="ctr"/>
        <c:lblOffset val="100"/>
        <c:noMultiLvlLbl val="0"/>
      </c:catAx>
      <c:valAx>
        <c:axId val="21044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6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Enginering!PivotTable16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Benchmarking Performa Site: Kualitas Sinyal</a:t>
            </a:r>
            <a:endParaRPr lang="en-US"/>
          </a:p>
        </c:rich>
      </c:tx>
      <c:layout>
        <c:manualLayout>
          <c:xMode val="edge"/>
          <c:yMode val="edge"/>
          <c:x val="0.14363800788779549"/>
          <c:y val="0.20937182852143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'Feature Enginering'!$V$3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'Feature Enginering'!$U$4:$U$14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'Feature Enginering'!$V$4:$V$14</c:f>
              <c:numCache>
                <c:formatCode>General</c:formatCode>
                <c:ptCount val="10"/>
                <c:pt idx="0">
                  <c:v>-88.61932678178654</c:v>
                </c:pt>
                <c:pt idx="1">
                  <c:v>-84.025606113980373</c:v>
                </c:pt>
                <c:pt idx="2">
                  <c:v>-80.121046812125812</c:v>
                </c:pt>
                <c:pt idx="3">
                  <c:v>-94.430105179316101</c:v>
                </c:pt>
                <c:pt idx="4">
                  <c:v>-90.247850363236466</c:v>
                </c:pt>
                <c:pt idx="5">
                  <c:v>-83.027497963136284</c:v>
                </c:pt>
                <c:pt idx="6">
                  <c:v>-80.75349381537265</c:v>
                </c:pt>
                <c:pt idx="7">
                  <c:v>-79.515145284889883</c:v>
                </c:pt>
                <c:pt idx="8">
                  <c:v>-79.477288057775596</c:v>
                </c:pt>
                <c:pt idx="9">
                  <c:v>-82.034403847715552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0-49E0-BCAA-0D0E4DAC2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072303"/>
        <c:axId val="553072783"/>
      </c:barChart>
      <c:catAx>
        <c:axId val="553072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072783"/>
        <c:crosses val="autoZero"/>
        <c:auto val="1"/>
        <c:lblAlgn val="ctr"/>
        <c:lblOffset val="100"/>
        <c:noMultiLvlLbl val="0"/>
      </c:catAx>
      <c:valAx>
        <c:axId val="55307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072303"/>
        <c:crosses val="autoZero"/>
        <c:crossBetween val="between"/>
      </c:valAx>
      <c:dTable>
        <c:showHorzBorder val="0"/>
        <c:showVertBorder val="0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Enginering!PivotTable18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Analisis Interferensi Lingkungan: Dampak Hambatan Fisik Terhadap Cakupan Sinyal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'Feature Enginering'!$Y$3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D3-43F7-87F5-108C50D90F75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D3-43F7-87F5-108C50D90F75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D3-43F7-87F5-108C50D90F75}"/>
              </c:ext>
            </c:extLst>
          </c:dPt>
          <c:cat>
            <c:strRef>
              <c:f>'Feature Enginering'!$X$4:$X$8</c:f>
              <c:strCache>
                <c:ptCount val="4"/>
                <c:pt idx="0">
                  <c:v>home</c:v>
                </c:pt>
                <c:pt idx="1">
                  <c:v>open</c:v>
                </c:pt>
                <c:pt idx="2">
                  <c:v>suburban</c:v>
                </c:pt>
                <c:pt idx="3">
                  <c:v>urban</c:v>
                </c:pt>
              </c:strCache>
            </c:strRef>
          </c:cat>
          <c:val>
            <c:numRef>
              <c:f>'Feature Enginering'!$Y$4:$Y$8</c:f>
              <c:numCache>
                <c:formatCode>General</c:formatCode>
                <c:ptCount val="4"/>
                <c:pt idx="0">
                  <c:v>-79.520206825169367</c:v>
                </c:pt>
                <c:pt idx="1">
                  <c:v>-84.034711907502015</c:v>
                </c:pt>
                <c:pt idx="2">
                  <c:v>-85.803725525956949</c:v>
                </c:pt>
                <c:pt idx="3">
                  <c:v>-90.603063135926959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3-43F7-87F5-108C50D90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938751"/>
        <c:axId val="579940671"/>
      </c:barChart>
      <c:catAx>
        <c:axId val="579938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40671"/>
        <c:crosses val="autoZero"/>
        <c:auto val="1"/>
        <c:lblAlgn val="ctr"/>
        <c:lblOffset val="100"/>
        <c:noMultiLvlLbl val="0"/>
      </c:catAx>
      <c:valAx>
        <c:axId val="5799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38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Enginering!PivotTable19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Analisis Interferensi Lingkungan: Dampak Hambatan Fisik Terhadap Cakupan Sinyal</a:t>
            </a:r>
            <a:endParaRPr lang="en-US" b="1"/>
          </a:p>
        </c:rich>
      </c:tx>
      <c:layout>
        <c:manualLayout>
          <c:xMode val="edge"/>
          <c:yMode val="edge"/>
          <c:x val="0.13442276614875057"/>
          <c:y val="0.12468960500782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7030A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'Feature Enginering'!$AB$3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39-466E-955B-42A6156A726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939-466E-955B-42A6156A7267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39-466E-955B-42A6156A7267}"/>
              </c:ext>
            </c:extLst>
          </c:dPt>
          <c:cat>
            <c:strRef>
              <c:f>'Feature Enginering'!$AA$4:$AA$8</c:f>
              <c:strCache>
                <c:ptCount val="4"/>
                <c:pt idx="0">
                  <c:v>home</c:v>
                </c:pt>
                <c:pt idx="1">
                  <c:v>open</c:v>
                </c:pt>
                <c:pt idx="2">
                  <c:v>suburban</c:v>
                </c:pt>
                <c:pt idx="3">
                  <c:v>urban</c:v>
                </c:pt>
              </c:strCache>
            </c:strRef>
          </c:cat>
          <c:val>
            <c:numRef>
              <c:f>'Feature Enginering'!$AB$4:$AB$8</c:f>
              <c:numCache>
                <c:formatCode>General</c:formatCode>
                <c:ptCount val="4"/>
                <c:pt idx="0">
                  <c:v>5.198299948346083</c:v>
                </c:pt>
                <c:pt idx="1">
                  <c:v>2.5475608453023235</c:v>
                </c:pt>
                <c:pt idx="2">
                  <c:v>4.8851696874446784</c:v>
                </c:pt>
                <c:pt idx="3">
                  <c:v>9.7507855896413034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9-466E-955B-42A6156A7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4259567"/>
        <c:axId val="1944259087"/>
      </c:barChart>
      <c:catAx>
        <c:axId val="1944259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259087"/>
        <c:crosses val="autoZero"/>
        <c:auto val="1"/>
        <c:lblAlgn val="ctr"/>
        <c:lblOffset val="100"/>
        <c:noMultiLvlLbl val="0"/>
      </c:catAx>
      <c:valAx>
        <c:axId val="194425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Enginering!PivotTable2</c:name>
    <c:fmtId val="7"/>
  </c:pivotSource>
  <c:chart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'Feature Enginering'!$AH$3:$AH$4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'Feature Enginering'!$AG$5:$AG$15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'Feature Enginering'!$AH$5:$AH$15</c:f>
              <c:numCache>
                <c:formatCode>General</c:formatCode>
                <c:ptCount val="10"/>
                <c:pt idx="0">
                  <c:v>19</c:v>
                </c:pt>
                <c:pt idx="1">
                  <c:v>15</c:v>
                </c:pt>
                <c:pt idx="2">
                  <c:v>15</c:v>
                </c:pt>
                <c:pt idx="3">
                  <c:v>12</c:v>
                </c:pt>
                <c:pt idx="4">
                  <c:v>21</c:v>
                </c:pt>
                <c:pt idx="5">
                  <c:v>21</c:v>
                </c:pt>
                <c:pt idx="6">
                  <c:v>24</c:v>
                </c:pt>
                <c:pt idx="7">
                  <c:v>20</c:v>
                </c:pt>
                <c:pt idx="8">
                  <c:v>21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9-4E79-A690-4C0246C90F3D}"/>
            </c:ext>
          </c:extLst>
        </c:ser>
        <c:ser>
          <c:idx val="1"/>
          <c:order val="1"/>
          <c:tx>
            <c:strRef>
              <c:f>'Feature Enginering'!$AI$3:$AI$4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'Feature Enginering'!$AG$5:$AG$15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'Feature Enginering'!$AI$5:$AI$15</c:f>
              <c:numCache>
                <c:formatCode>General</c:formatCode>
                <c:ptCount val="10"/>
                <c:pt idx="0">
                  <c:v>10</c:v>
                </c:pt>
                <c:pt idx="1">
                  <c:v>14</c:v>
                </c:pt>
                <c:pt idx="2">
                  <c:v>6</c:v>
                </c:pt>
                <c:pt idx="3">
                  <c:v>15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8</c:v>
                </c:pt>
                <c:pt idx="8">
                  <c:v>13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9-4E79-A690-4C0246C90F3D}"/>
            </c:ext>
          </c:extLst>
        </c:ser>
        <c:ser>
          <c:idx val="2"/>
          <c:order val="2"/>
          <c:tx>
            <c:strRef>
              <c:f>'Feature Enginering'!$AJ$3:$AJ$4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'Feature Enginering'!$AG$5:$AG$15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'Feature Enginering'!$AJ$5:$AJ$15</c:f>
              <c:numCache>
                <c:formatCode>General</c:formatCode>
                <c:ptCount val="10"/>
                <c:pt idx="0">
                  <c:v>11</c:v>
                </c:pt>
                <c:pt idx="1">
                  <c:v>23</c:v>
                </c:pt>
                <c:pt idx="2">
                  <c:v>16</c:v>
                </c:pt>
                <c:pt idx="3">
                  <c:v>12</c:v>
                </c:pt>
                <c:pt idx="4">
                  <c:v>19</c:v>
                </c:pt>
                <c:pt idx="5">
                  <c:v>14</c:v>
                </c:pt>
                <c:pt idx="6">
                  <c:v>16</c:v>
                </c:pt>
                <c:pt idx="7">
                  <c:v>20</c:v>
                </c:pt>
                <c:pt idx="8">
                  <c:v>11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9-4E79-A690-4C0246C90F3D}"/>
            </c:ext>
          </c:extLst>
        </c:ser>
        <c:ser>
          <c:idx val="3"/>
          <c:order val="3"/>
          <c:tx>
            <c:strRef>
              <c:f>'Feature Enginering'!$AK$3:$AK$4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'Feature Enginering'!$AG$5:$AG$15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'Feature Enginering'!$AK$5:$AK$15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9-4E79-A690-4C0246C90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190128"/>
        <c:axId val="453188688"/>
      </c:barChart>
      <c:catAx>
        <c:axId val="45319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88688"/>
        <c:crosses val="autoZero"/>
        <c:auto val="1"/>
        <c:lblAlgn val="ctr"/>
        <c:lblOffset val="100"/>
        <c:noMultiLvlLbl val="0"/>
      </c:catAx>
      <c:valAx>
        <c:axId val="45318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901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[Dataset.xlsx]Feature Enginering!PivotTable1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Profil Kesehatan Jaringan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'Feature Enginering'!$AE$3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CB-4D6B-903C-CD722FBE4BA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CB-4D6B-903C-CD722FBE4BA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CB-4D6B-903C-CD722FBE4BAF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CB-4D6B-903C-CD722FBE4B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'Feature Enginering'!$AD$4:$AD$8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'Feature Enginering'!$AE$4:$AE$8</c:f>
              <c:numCache>
                <c:formatCode>General</c:formatCode>
                <c:ptCount val="4"/>
                <c:pt idx="0">
                  <c:v>184</c:v>
                </c:pt>
                <c:pt idx="1">
                  <c:v>113</c:v>
                </c:pt>
                <c:pt idx="2">
                  <c:v>151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CB-4D6B-903C-CD722FBE4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137160</xdr:colOff>
      <xdr:row>16</xdr:row>
      <xdr:rowOff>15240</xdr:rowOff>
    </xdr:from>
    <xdr:to>
      <xdr:col>17</xdr:col>
      <xdr:colOff>533400</xdr:colOff>
      <xdr:row>31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622B316-36A9-4ECC-02BA-4A0066D6F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53340</xdr:colOff>
      <xdr:row>32</xdr:row>
      <xdr:rowOff>15240</xdr:rowOff>
    </xdr:from>
    <xdr:to>
      <xdr:col>18</xdr:col>
      <xdr:colOff>960120</xdr:colOff>
      <xdr:row>47</xdr:row>
      <xdr:rowOff>15240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78FC0C8-B3FB-8C67-CEB6-15B396DD0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345530</xdr:colOff>
      <xdr:row>16</xdr:row>
      <xdr:rowOff>28727</xdr:rowOff>
    </xdr:from>
    <xdr:to>
      <xdr:col>21</xdr:col>
      <xdr:colOff>1800950</xdr:colOff>
      <xdr:row>31</xdr:row>
      <xdr:rowOff>28727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6CF3B75-0F5F-CF3F-75F6-C3FD61643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457200</xdr:colOff>
      <xdr:row>15</xdr:row>
      <xdr:rowOff>99060</xdr:rowOff>
    </xdr:from>
    <xdr:to>
      <xdr:col>26</xdr:col>
      <xdr:colOff>266700</xdr:colOff>
      <xdr:row>30</xdr:row>
      <xdr:rowOff>99060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9788B2C-7AD5-4922-F4C6-F04B966E6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20230</xdr:colOff>
      <xdr:row>31</xdr:row>
      <xdr:rowOff>179373</xdr:rowOff>
    </xdr:from>
    <xdr:to>
      <xdr:col>23</xdr:col>
      <xdr:colOff>316938</xdr:colOff>
      <xdr:row>47</xdr:row>
      <xdr:rowOff>9441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7EF6E01-B780-2454-3EDD-0909EDB29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552880</xdr:colOff>
      <xdr:row>51</xdr:row>
      <xdr:rowOff>24923</xdr:rowOff>
    </xdr:from>
    <xdr:to>
      <xdr:col>18</xdr:col>
      <xdr:colOff>1183924</xdr:colOff>
      <xdr:row>65</xdr:row>
      <xdr:rowOff>149413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379B6-E60E-497A-407D-175040FC3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250658</xdr:colOff>
      <xdr:row>31</xdr:row>
      <xdr:rowOff>147387</xdr:rowOff>
    </xdr:from>
    <xdr:to>
      <xdr:col>27</xdr:col>
      <xdr:colOff>1925053</xdr:colOff>
      <xdr:row>46</xdr:row>
      <xdr:rowOff>20053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43A693-9D3A-2E43-3767-0EA31C662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325901</xdr:colOff>
      <xdr:row>3</xdr:row>
      <xdr:rowOff>79327</xdr:rowOff>
    </xdr:from>
    <xdr:to>
      <xdr:col>26</xdr:col>
      <xdr:colOff>402101</xdr:colOff>
      <xdr:row>18</xdr:row>
      <xdr:rowOff>79326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72F0D6-B9A1-4705-8509-ADFEB23F8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</xdr:colOff>
      <xdr:row>20</xdr:row>
      <xdr:rowOff>15240</xdr:rowOff>
    </xdr:from>
    <xdr:to>
      <xdr:col>10</xdr:col>
      <xdr:colOff>160020</xdr:colOff>
      <xdr:row>35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E545E4-EDDB-49A9-BB6E-F27674B33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449385</xdr:colOff>
      <xdr:row>20</xdr:row>
      <xdr:rowOff>59207</xdr:rowOff>
    </xdr:from>
    <xdr:to>
      <xdr:col>19</xdr:col>
      <xdr:colOff>9769</xdr:colOff>
      <xdr:row>35</xdr:row>
      <xdr:rowOff>59207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C8147D-A045-440D-B829-21DD5463C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601979</xdr:colOff>
      <xdr:row>3</xdr:row>
      <xdr:rowOff>99060</xdr:rowOff>
    </xdr:from>
    <xdr:to>
      <xdr:col>18</xdr:col>
      <xdr:colOff>586153</xdr:colOff>
      <xdr:row>18</xdr:row>
      <xdr:rowOff>99060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456FA3A-589D-4FCD-8CC6-02E03AF83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58330</xdr:colOff>
      <xdr:row>3</xdr:row>
      <xdr:rowOff>103173</xdr:rowOff>
    </xdr:from>
    <xdr:to>
      <xdr:col>10</xdr:col>
      <xdr:colOff>175260</xdr:colOff>
      <xdr:row>18</xdr:row>
      <xdr:rowOff>116121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86BE61D-08C8-4974-ABF9-6B1CF4C3B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-1</xdr:colOff>
      <xdr:row>37</xdr:row>
      <xdr:rowOff>31750</xdr:rowOff>
    </xdr:from>
    <xdr:to>
      <xdr:col>13</xdr:col>
      <xdr:colOff>358587</xdr:colOff>
      <xdr:row>51</xdr:row>
      <xdr:rowOff>115135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41B9E3-6647-4552-90CA-24A892E1B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433918</xdr:colOff>
      <xdr:row>20</xdr:row>
      <xdr:rowOff>74084</xdr:rowOff>
    </xdr:from>
    <xdr:to>
      <xdr:col>26</xdr:col>
      <xdr:colOff>472226</xdr:colOff>
      <xdr:row>35</xdr:row>
      <xdr:rowOff>47406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B5C579-25E8-4128-8390-08F1EE896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" refreshedDate="46060.549796527775" createdVersion="8" refreshedVersion="8" minRefreshableVersion="3" recordCount="464" xr:uid="{F2C376FE-ADE9-4E45-BCF8-761B1EE096C8}">
  <cacheSource type="worksheet">
    <worksheetSource ref="A1:M1048576" sheet="Feature Enginering"/>
  </cacheSource>
  <cacheFields count="13">
    <cacheField name="Timestamp" numFmtId="0">
      <sharedItems containsDate="1" containsBlank="1" containsMixedTypes="1" minDate="2022-01-01T19:32:01" maxDate="2022-12-31T22:38:35"/>
    </cacheField>
    <cacheField name="Signal Strength (dBm)" numFmtId="0">
      <sharedItems containsString="0" containsBlank="1" containsNumber="1" minValue="-118.681317718823" maxValue="-50.122221876305602"/>
    </cacheField>
    <cacheField name="SNR" numFmtId="0">
      <sharedItems containsString="0" containsBlank="1" containsNumber="1" minValue="10.2714107156733" maxValue="29.963213447743598"/>
    </cacheField>
    <cacheField name="Call Duration (s)" numFmtId="0">
      <sharedItems containsString="0" containsBlank="1" containsNumber="1" minValue="11.520903607716701" maxValue="1795.1751372477599"/>
    </cacheField>
    <cacheField name="Environment" numFmtId="0">
      <sharedItems containsBlank="1" count="5">
        <s v="urban"/>
        <s v="home"/>
        <s v="open"/>
        <s v="suburban"/>
        <m/>
      </sharedItems>
    </cacheField>
    <cacheField name="Attenuation" numFmtId="0">
      <sharedItems containsString="0" containsBlank="1" containsNumber="1" minValue="4.2254874773218203E-2" maxValue="14.9397933547056"/>
    </cacheField>
    <cacheField name="Distance to Tower (km)" numFmtId="0">
      <sharedItems containsString="0" containsBlank="1" containsNumber="1" minValue="2.6374590815460001E-2" maxValue="9.9818055826145997"/>
    </cacheField>
    <cacheField name="Tower ID" numFmtId="0">
      <sharedItems containsString="0" containsBlank="1" containsNumber="1" containsInteger="1" minValue="1" maxValue="10" count="11">
        <n v="5"/>
        <n v="3"/>
        <n v="2"/>
        <n v="6"/>
        <n v="1"/>
        <n v="7"/>
        <n v="8"/>
        <n v="9"/>
        <n v="4"/>
        <n v="10"/>
        <m/>
      </sharedItems>
    </cacheField>
    <cacheField name="User ID" numFmtId="0">
      <sharedItems containsString="0" containsBlank="1" containsNumber="1" containsInteger="1" minValue="1" maxValue="100"/>
    </cacheField>
    <cacheField name="Call Type" numFmtId="0">
      <sharedItems containsBlank="1"/>
    </cacheField>
    <cacheField name="Incoming/Outgoing" numFmtId="0">
      <sharedItems containsBlank="1"/>
    </cacheField>
    <cacheField name="Signal Strength" numFmtId="0">
      <sharedItems containsBlank="1" count="5">
        <s v="Good"/>
        <s v="Poor"/>
        <s v="Fair"/>
        <s v="Excellent"/>
        <m/>
      </sharedItems>
    </cacheField>
    <cacheField name="Signal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4">
  <r>
    <d v="2022-01-03T17:46:13"/>
    <n v="-84.119763102008093"/>
    <n v="25.940081825379099"/>
    <n v="1713.8005496373601"/>
    <x v="0"/>
    <n v="14.6904376315739"/>
    <n v="2.2431763646784799"/>
    <x v="0"/>
    <n v="25"/>
    <s v="data"/>
    <s v="incoming"/>
    <x v="0"/>
    <s v="High Loss"/>
  </r>
  <r>
    <d v="2022-01-04T17:29:31"/>
    <n v="-87.806130827691305"/>
    <n v="15.937353981909499"/>
    <n v="345.37184827531598"/>
    <x v="1"/>
    <n v="6.2136981139148801"/>
    <n v="5.0025664998508299"/>
    <x v="1"/>
    <n v="22"/>
    <s v="voice"/>
    <s v="incoming"/>
    <x v="0"/>
    <s v="Normal"/>
  </r>
  <r>
    <d v="2022-01-05T17:14:01"/>
    <n v="-116.575175596495"/>
    <n v="14.7093842796525"/>
    <n v="259.28504348173999"/>
    <x v="2"/>
    <n v="4.4944149655434602"/>
    <n v="8.7059735322043306"/>
    <x v="2"/>
    <n v="5"/>
    <s v="voice"/>
    <s v="incoming"/>
    <x v="1"/>
    <s v="Normal"/>
  </r>
  <r>
    <d v="2022-01-06T16:02:29"/>
    <n v="-82.961182903388007"/>
    <n v="21.727165092903"/>
    <n v="357.97400442584899"/>
    <x v="1"/>
    <n v="7.61995747300384"/>
    <n v="7.4270245501411702"/>
    <x v="0"/>
    <n v="33"/>
    <s v="data"/>
    <s v="outgoing"/>
    <x v="0"/>
    <s v="Normal"/>
  </r>
  <r>
    <d v="2022-01-07T22:19:17"/>
    <n v="-85.012574109426197"/>
    <n v="26.058158432953601"/>
    <n v="398.00671584668697"/>
    <x v="0"/>
    <n v="10.6551588270581"/>
    <n v="0.61207051140331303"/>
    <x v="0"/>
    <n v="8"/>
    <s v="voice"/>
    <s v="outgoing"/>
    <x v="0"/>
    <s v="High Loss"/>
  </r>
  <r>
    <d v="2022-01-08T22:31:42"/>
    <n v="-98.618691644283501"/>
    <n v="20.606737743653699"/>
    <n v="1795.1751372477599"/>
    <x v="0"/>
    <n v="5.6222017802995596"/>
    <n v="4.70256110231443"/>
    <x v="3"/>
    <n v="42"/>
    <s v="data"/>
    <s v="outgoing"/>
    <x v="2"/>
    <s v="Normal"/>
  </r>
  <r>
    <d v="2022-01-09T20:39:41"/>
    <n v="-74.139398619688706"/>
    <n v="15.533143797284399"/>
    <n v="230.32024737271101"/>
    <x v="3"/>
    <n v="7.6362303505615499"/>
    <n v="1.66729321639479"/>
    <x v="4"/>
    <n v="74"/>
    <s v="voice"/>
    <s v="outgoing"/>
    <x v="3"/>
    <s v="Normal"/>
  </r>
  <r>
    <d v="2022-01-10T22:03:26"/>
    <n v="-50.235330964038397"/>
    <n v="23.898982806262701"/>
    <n v="462.11256841159502"/>
    <x v="2"/>
    <n v="0.44102867514516902"/>
    <n v="1.1657788478490201"/>
    <x v="5"/>
    <n v="16"/>
    <s v="data"/>
    <s v="incoming"/>
    <x v="3"/>
    <s v="Normal"/>
  </r>
  <r>
    <d v="2022-01-11T10:15:37"/>
    <n v="-70.1030733993355"/>
    <n v="20.070369820516799"/>
    <n v="1697.4233652739799"/>
    <x v="3"/>
    <n v="5.29849838342348"/>
    <n v="7.6781262448115903"/>
    <x v="6"/>
    <n v="7"/>
    <s v="voice"/>
    <s v="outgoing"/>
    <x v="3"/>
    <s v="Normal"/>
  </r>
  <r>
    <d v="2022-01-12T13:31:29"/>
    <n v="-97.600563685678793"/>
    <n v="23.437814260372299"/>
    <n v="1311.06652638329"/>
    <x v="1"/>
    <n v="1.2358944054824199"/>
    <n v="4.9720487953707604"/>
    <x v="6"/>
    <n v="74"/>
    <s v="data"/>
    <s v="incoming"/>
    <x v="2"/>
    <s v="Normal"/>
  </r>
  <r>
    <d v="2022-01-13T15:20:05"/>
    <n v="-99.651735788351999"/>
    <n v="14.2440707065702"/>
    <n v="857.84596297745395"/>
    <x v="2"/>
    <n v="0.757706452627534"/>
    <n v="9.15753085130582"/>
    <x v="7"/>
    <n v="62"/>
    <s v="voice"/>
    <s v="incoming"/>
    <x v="2"/>
    <s v="Normal"/>
  </r>
  <r>
    <d v="2022-01-14T19:10:19"/>
    <n v="-78.585962191361304"/>
    <n v="17.391786266451199"/>
    <n v="683.85262101636499"/>
    <x v="3"/>
    <n v="5.5869201121765499"/>
    <n v="7.8695926282484097"/>
    <x v="1"/>
    <n v="54"/>
    <s v="voice"/>
    <s v="incoming"/>
    <x v="3"/>
    <s v="Normal"/>
  </r>
  <r>
    <d v="2022-01-15T09:16:33"/>
    <n v="-105.474205403532"/>
    <n v="24.770495713434698"/>
    <n v="1767.79812495087"/>
    <x v="0"/>
    <n v="7.5153459263088704"/>
    <n v="5.6941897976390603"/>
    <x v="6"/>
    <n v="29"/>
    <s v="voice"/>
    <s v="incoming"/>
    <x v="2"/>
    <s v="Normal"/>
  </r>
  <r>
    <d v="2022-01-16T23:40:20"/>
    <n v="-77.203486680888702"/>
    <n v="23.3178640442447"/>
    <n v="1623.7836866160301"/>
    <x v="0"/>
    <n v="5.9432384436761998"/>
    <n v="7.3286556567920504"/>
    <x v="6"/>
    <n v="87"/>
    <s v="data"/>
    <s v="incoming"/>
    <x v="3"/>
    <s v="Normal"/>
  </r>
  <r>
    <d v="2022-01-17T12:50:56"/>
    <n v="-87.953911510710398"/>
    <n v="11.221927435054299"/>
    <n v="20.745315157921699"/>
    <x v="1"/>
    <n v="3.7768505541019399"/>
    <n v="8.1556943992729707"/>
    <x v="8"/>
    <n v="17"/>
    <s v="voice"/>
    <s v="outgoing"/>
    <x v="0"/>
    <s v="Normal"/>
  </r>
  <r>
    <d v="2022-01-18T16:55:51"/>
    <n v="-82.298764779765406"/>
    <n v="19.018329207683401"/>
    <n v="1682.71431249121"/>
    <x v="1"/>
    <n v="1.4305819074770501"/>
    <n v="6.0510868156456201"/>
    <x v="3"/>
    <n v="80"/>
    <s v="data"/>
    <s v="outgoing"/>
    <x v="0"/>
    <s v="Normal"/>
  </r>
  <r>
    <d v="2022-01-19T22:10:01"/>
    <n v="-105.543497796024"/>
    <n v="15.6159048219904"/>
    <n v="1225.4348518996801"/>
    <x v="2"/>
    <n v="0.82705457194919896"/>
    <n v="3.0694058895348499"/>
    <x v="0"/>
    <n v="50"/>
    <s v="voice"/>
    <s v="outgoing"/>
    <x v="2"/>
    <s v="Normal"/>
  </r>
  <r>
    <d v="2022-01-20T16:09:23"/>
    <n v="-65.741318493240797"/>
    <n v="17.951671804222801"/>
    <n v="1468.4355584012601"/>
    <x v="3"/>
    <n v="6.1820440991521997"/>
    <n v="8.1784004003298296"/>
    <x v="1"/>
    <n v="91"/>
    <s v="data"/>
    <s v="incoming"/>
    <x v="3"/>
    <s v="Normal"/>
  </r>
  <r>
    <d v="2022-01-21T10:22:24"/>
    <n v="-93.135571358703103"/>
    <n v="19.605711473081598"/>
    <n v="195.65780928967899"/>
    <x v="3"/>
    <n v="5.7644491127252602"/>
    <n v="2.8839084641108399"/>
    <x v="2"/>
    <n v="33"/>
    <s v="data"/>
    <s v="incoming"/>
    <x v="0"/>
    <s v="Normal"/>
  </r>
  <r>
    <d v="2022-01-22T13:27:28"/>
    <n v="-77.069920515129496"/>
    <n v="24.830161118784499"/>
    <n v="1724.0370136014501"/>
    <x v="2"/>
    <n v="2.5196512620879301"/>
    <n v="6.0149144221724598"/>
    <x v="2"/>
    <n v="29"/>
    <s v="data"/>
    <s v="incoming"/>
    <x v="3"/>
    <s v="Normal"/>
  </r>
  <r>
    <d v="2022-01-23T21:14:52"/>
    <n v="-79.615003543572996"/>
    <n v="12.2102726045732"/>
    <n v="1362.30000689552"/>
    <x v="2"/>
    <n v="3.78758676988955"/>
    <n v="0.48259831349161098"/>
    <x v="3"/>
    <n v="7"/>
    <s v="data"/>
    <s v="incoming"/>
    <x v="3"/>
    <s v="Normal"/>
  </r>
  <r>
    <d v="2022-01-24T14:07:07"/>
    <n v="-103.437033340852"/>
    <n v="20.886237533864801"/>
    <n v="1710.1123971801201"/>
    <x v="0"/>
    <n v="7.0761211292902599"/>
    <n v="9.7946103060158691"/>
    <x v="3"/>
    <n v="19"/>
    <s v="voice"/>
    <s v="incoming"/>
    <x v="2"/>
    <s v="Normal"/>
  </r>
  <r>
    <d v="2022-01-25T23:41:38"/>
    <n v="-98.467308095347704"/>
    <n v="12.6099479822958"/>
    <n v="1522.6504249233201"/>
    <x v="1"/>
    <n v="9.6231165017572007"/>
    <n v="5.2114856362328901"/>
    <x v="5"/>
    <n v="98"/>
    <s v="data"/>
    <s v="incoming"/>
    <x v="2"/>
    <s v="Normal"/>
  </r>
  <r>
    <d v="2022-01-26T12:26:58"/>
    <n v="-90.875820115685798"/>
    <n v="20.0462599540528"/>
    <n v="1212.13039725763"/>
    <x v="2"/>
    <n v="2.6159593615678398"/>
    <n v="8.0529382771891704"/>
    <x v="5"/>
    <n v="23"/>
    <s v="voice"/>
    <s v="outgoing"/>
    <x v="0"/>
    <s v="Normal"/>
  </r>
  <r>
    <d v="2022-01-27T18:02:14"/>
    <n v="-69.989981477924005"/>
    <n v="25.9904075454801"/>
    <n v="381.22589464820197"/>
    <x v="3"/>
    <n v="2.4427395319416201"/>
    <n v="7.1185606955353196"/>
    <x v="3"/>
    <n v="94"/>
    <s v="voice"/>
    <s v="incoming"/>
    <x v="3"/>
    <s v="Normal"/>
  </r>
  <r>
    <d v="2022-01-28T09:48:25"/>
    <n v="-104.26052950164301"/>
    <n v="26.207665314169201"/>
    <n v="1260.8300650435799"/>
    <x v="3"/>
    <n v="4.34636257256604"/>
    <n v="3.9325685073654699"/>
    <x v="7"/>
    <n v="88"/>
    <s v="voice"/>
    <s v="outgoing"/>
    <x v="2"/>
    <s v="Normal"/>
  </r>
  <r>
    <d v="2022-01-29T21:06:27"/>
    <n v="-75.856058044801799"/>
    <n v="16.635219372857001"/>
    <n v="1352.41657535629"/>
    <x v="1"/>
    <n v="8.0291511577039198"/>
    <n v="1.6408789088971301"/>
    <x v="9"/>
    <n v="85"/>
    <s v="data"/>
    <s v="incoming"/>
    <x v="3"/>
    <s v="Normal"/>
  </r>
  <r>
    <d v="2022-01-30T10:17:39"/>
    <n v="-107.055642103382"/>
    <n v="29.212495576490699"/>
    <n v="1342.5736108410399"/>
    <x v="0"/>
    <n v="6.7132741125845401"/>
    <n v="8.4465743707522094"/>
    <x v="8"/>
    <n v="17"/>
    <s v="data"/>
    <s v="outgoing"/>
    <x v="2"/>
    <s v="Normal"/>
  </r>
  <r>
    <d v="2022-01-31T09:46:42"/>
    <n v="-118.243982100463"/>
    <n v="28.492086878050799"/>
    <n v="879.04749972259197"/>
    <x v="2"/>
    <n v="0.34746304512274301"/>
    <n v="9.7858686354799094"/>
    <x v="8"/>
    <n v="83"/>
    <s v="voice"/>
    <s v="outgoing"/>
    <x v="1"/>
    <s v="Normal"/>
  </r>
  <r>
    <d v="2022-02-01T14:55:16"/>
    <n v="-72.442702041296997"/>
    <n v="13.058615219522601"/>
    <n v="1203.86200479135"/>
    <x v="3"/>
    <n v="7.6775391850311996"/>
    <n v="2.1802041121013098"/>
    <x v="9"/>
    <n v="11"/>
    <s v="data"/>
    <s v="outgoing"/>
    <x v="3"/>
    <s v="Normal"/>
  </r>
  <r>
    <d v="2022-02-02T21:00:38"/>
    <n v="-75.037625898447402"/>
    <n v="29.515160243709001"/>
    <n v="1219.15169238869"/>
    <x v="3"/>
    <n v="3.4103343999705"/>
    <n v="8.2878222403599793"/>
    <x v="6"/>
    <n v="94"/>
    <s v="data"/>
    <s v="incoming"/>
    <x v="3"/>
    <s v="Normal"/>
  </r>
  <r>
    <d v="2022-02-03T17:50:53"/>
    <n v="-101.145320910237"/>
    <n v="14.028889143503401"/>
    <n v="1100.3926665428301"/>
    <x v="0"/>
    <n v="5.3652218530278803"/>
    <n v="5.2340564400026004"/>
    <x v="2"/>
    <n v="48"/>
    <s v="data"/>
    <s v="incoming"/>
    <x v="2"/>
    <s v="Normal"/>
  </r>
  <r>
    <d v="2022-02-04T20:19:42"/>
    <n v="-82.249617910647601"/>
    <n v="22.244022449726099"/>
    <n v="1388.02021170438"/>
    <x v="2"/>
    <n v="0.95336062259216303"/>
    <n v="2.9979880718236802"/>
    <x v="6"/>
    <n v="50"/>
    <s v="voice"/>
    <s v="incoming"/>
    <x v="0"/>
    <s v="Normal"/>
  </r>
  <r>
    <d v="2022-02-05T11:49:54"/>
    <n v="-74.3576280884364"/>
    <n v="17.115283248785001"/>
    <n v="1274.60214774464"/>
    <x v="1"/>
    <n v="5.6745041060253296"/>
    <n v="1.29410852654535"/>
    <x v="9"/>
    <n v="38"/>
    <s v="data"/>
    <s v="incoming"/>
    <x v="3"/>
    <s v="Normal"/>
  </r>
  <r>
    <d v="2022-02-06T13:17:38"/>
    <n v="-101.52635007015699"/>
    <n v="16.1967572796501"/>
    <n v="82.7998687801486"/>
    <x v="0"/>
    <n v="10.0811263773129"/>
    <n v="1.1799149099164199"/>
    <x v="9"/>
    <n v="43"/>
    <s v="data"/>
    <s v="incoming"/>
    <x v="2"/>
    <s v="High Loss"/>
  </r>
  <r>
    <d v="2022-02-07T14:06:51"/>
    <n v="-77.371503936817405"/>
    <n v="19.3317251799375"/>
    <n v="802.24297501489195"/>
    <x v="0"/>
    <n v="10.801319976957201"/>
    <n v="9.9164959450230992"/>
    <x v="4"/>
    <n v="52"/>
    <s v="data"/>
    <s v="outgoing"/>
    <x v="3"/>
    <s v="High Loss"/>
  </r>
  <r>
    <d v="2022-02-08T18:19:19"/>
    <n v="-61.198388282269597"/>
    <n v="22.807500635432898"/>
    <n v="1186.6786012815901"/>
    <x v="1"/>
    <n v="5.7375413256014101"/>
    <n v="5.1838310154955902"/>
    <x v="7"/>
    <n v="55"/>
    <s v="data"/>
    <s v="incoming"/>
    <x v="3"/>
    <s v="Normal"/>
  </r>
  <r>
    <d v="2022-02-09T18:39:40"/>
    <n v="-73.692772484632201"/>
    <n v="27.6361340485354"/>
    <n v="144.33900567016099"/>
    <x v="1"/>
    <n v="5.6056651926616201"/>
    <n v="2.7326937898061101"/>
    <x v="9"/>
    <n v="69"/>
    <s v="voice"/>
    <s v="incoming"/>
    <x v="3"/>
    <s v="Normal"/>
  </r>
  <r>
    <d v="2022-02-10T12:36:12"/>
    <n v="-101.16083838561801"/>
    <n v="25.369369451296201"/>
    <n v="1016.41250164827"/>
    <x v="0"/>
    <n v="8.5173092468609894"/>
    <n v="8.1620185019484506"/>
    <x v="1"/>
    <n v="75"/>
    <s v="data"/>
    <s v="incoming"/>
    <x v="2"/>
    <s v="Normal"/>
  </r>
  <r>
    <d v="2022-02-11T20:10:56"/>
    <n v="-88.904163999693594"/>
    <n v="21.722730997248998"/>
    <n v="848.76542217671295"/>
    <x v="1"/>
    <n v="6.6880745267463597"/>
    <n v="4.4317581474537703E-2"/>
    <x v="2"/>
    <n v="22"/>
    <s v="data"/>
    <s v="outgoing"/>
    <x v="0"/>
    <s v="Normal"/>
  </r>
  <r>
    <d v="2022-02-12T16:57:52"/>
    <n v="-91.099208555624102"/>
    <n v="22.1709769933701"/>
    <n v="1586.3382980507899"/>
    <x v="3"/>
    <n v="3.1302071507539302"/>
    <n v="3.0951288232226499"/>
    <x v="5"/>
    <n v="65"/>
    <s v="voice"/>
    <s v="incoming"/>
    <x v="0"/>
    <s v="Normal"/>
  </r>
  <r>
    <d v="2022-02-13T10:06:58"/>
    <n v="-95.380488844043597"/>
    <n v="28.456054902588399"/>
    <n v="1736.68297987952"/>
    <x v="0"/>
    <n v="14.481916729552699"/>
    <n v="5.1871839916645204"/>
    <x v="3"/>
    <n v="62"/>
    <s v="data"/>
    <s v="outgoing"/>
    <x v="2"/>
    <s v="High Loss"/>
  </r>
  <r>
    <d v="2022-02-14T21:28:29"/>
    <n v="-100.46909253434499"/>
    <n v="10.683836611039"/>
    <n v="444.90103955163602"/>
    <x v="0"/>
    <n v="14.5639063576268"/>
    <n v="0.87009109842897603"/>
    <x v="5"/>
    <n v="97"/>
    <s v="data"/>
    <s v="outgoing"/>
    <x v="2"/>
    <s v="High Loss"/>
  </r>
  <r>
    <d v="2022-02-15T19:28:45"/>
    <n v="-81.371239217319101"/>
    <n v="16.8480059580865"/>
    <n v="233.762817151181"/>
    <x v="3"/>
    <n v="7.7718991476090702"/>
    <n v="5.0830376185255197"/>
    <x v="6"/>
    <n v="44"/>
    <s v="voice"/>
    <s v="incoming"/>
    <x v="0"/>
    <s v="Normal"/>
  </r>
  <r>
    <d v="2022-02-16T21:47:35"/>
    <n v="-88.393745084362706"/>
    <n v="29.3257676475524"/>
    <n v="1029.85034541865"/>
    <x v="0"/>
    <n v="6.4457119596360402"/>
    <n v="9.5745197229759604"/>
    <x v="9"/>
    <n v="59"/>
    <s v="data"/>
    <s v="outgoing"/>
    <x v="0"/>
    <s v="Normal"/>
  </r>
  <r>
    <d v="2022-02-17T23:26:05"/>
    <n v="-86.024470065884799"/>
    <n v="13.7216840225132"/>
    <n v="669.867353692591"/>
    <x v="3"/>
    <n v="6.4873834551617904"/>
    <n v="9.7917141684580393"/>
    <x v="3"/>
    <n v="46"/>
    <s v="voice"/>
    <s v="outgoing"/>
    <x v="0"/>
    <s v="Normal"/>
  </r>
  <r>
    <d v="2022-02-18T14:00:53"/>
    <n v="-78.150988875500602"/>
    <n v="19.621374639206799"/>
    <n v="308.51792156899802"/>
    <x v="0"/>
    <n v="11.0612980087105"/>
    <n v="1.5262072458399101"/>
    <x v="7"/>
    <n v="5"/>
    <s v="voice"/>
    <s v="outgoing"/>
    <x v="3"/>
    <s v="High Loss"/>
  </r>
  <r>
    <d v="2022-02-19T11:12:30"/>
    <n v="-85.229985930823702"/>
    <n v="18.632744157591102"/>
    <n v="1681.26138317202"/>
    <x v="0"/>
    <n v="6.1760705405776504"/>
    <n v="8.4670184455255804"/>
    <x v="2"/>
    <n v="56"/>
    <s v="voice"/>
    <s v="incoming"/>
    <x v="0"/>
    <s v="Normal"/>
  </r>
  <r>
    <d v="2022-02-20T21:56:55"/>
    <n v="-66.343286306392699"/>
    <n v="18.749503698603299"/>
    <n v="1228.47216944099"/>
    <x v="3"/>
    <n v="6.6588328329227897"/>
    <n v="2.4185979191620302"/>
    <x v="0"/>
    <n v="70"/>
    <s v="voice"/>
    <s v="incoming"/>
    <x v="3"/>
    <s v="Normal"/>
  </r>
  <r>
    <d v="2022-02-21T11:57:38"/>
    <n v="-76.102174189444"/>
    <n v="16.753993657736501"/>
    <n v="990.76439254115303"/>
    <x v="3"/>
    <n v="6.7735534483260098"/>
    <n v="3.22484316104654"/>
    <x v="0"/>
    <n v="63"/>
    <s v="data"/>
    <s v="outgoing"/>
    <x v="3"/>
    <s v="Normal"/>
  </r>
  <r>
    <d v="2022-02-22T13:43:43"/>
    <n v="-78.311075016663807"/>
    <n v="11.646870826394"/>
    <n v="238.009977582803"/>
    <x v="3"/>
    <n v="3.16858172090584"/>
    <n v="3.0462751713749601"/>
    <x v="7"/>
    <n v="68"/>
    <s v="voice"/>
    <s v="outgoing"/>
    <x v="3"/>
    <s v="Normal"/>
  </r>
  <r>
    <d v="2022-02-23T10:09:38"/>
    <n v="-61.205566531499201"/>
    <n v="11.973081499727501"/>
    <n v="1355.85110256198"/>
    <x v="2"/>
    <n v="1.1624505737760999"/>
    <n v="6.8174645822445799"/>
    <x v="0"/>
    <n v="61"/>
    <s v="data"/>
    <s v="outgoing"/>
    <x v="3"/>
    <s v="Normal"/>
  </r>
  <r>
    <d v="2022-02-24T19:12:29"/>
    <n v="-98.424558821113294"/>
    <n v="24.771415599612599"/>
    <n v="438.67682915730302"/>
    <x v="3"/>
    <n v="3.2059340181337301"/>
    <n v="0.92683020131560701"/>
    <x v="8"/>
    <n v="71"/>
    <s v="voice"/>
    <s v="outgoing"/>
    <x v="2"/>
    <s v="Normal"/>
  </r>
  <r>
    <d v="2022-02-25T22:51:47"/>
    <n v="-102.32830312723701"/>
    <n v="27.268350270112801"/>
    <n v="1229.17354539344"/>
    <x v="0"/>
    <n v="10.6469407566175"/>
    <n v="8.1237818049495907"/>
    <x v="5"/>
    <n v="93"/>
    <s v="data"/>
    <s v="outgoing"/>
    <x v="2"/>
    <s v="High Loss"/>
  </r>
  <r>
    <d v="2022-02-26T10:27:44"/>
    <n v="-59.474517865928"/>
    <n v="21.862114589011"/>
    <n v="17.5220782051546"/>
    <x v="2"/>
    <n v="0.251384042686912"/>
    <n v="3.51328748093648"/>
    <x v="5"/>
    <n v="93"/>
    <s v="voice"/>
    <s v="incoming"/>
    <x v="3"/>
    <s v="Normal"/>
  </r>
  <r>
    <d v="2022-02-27T14:36:46"/>
    <n v="-98.849205120906007"/>
    <n v="29.009157101545899"/>
    <n v="325.55996000162003"/>
    <x v="1"/>
    <n v="6.8466135999291096"/>
    <n v="5.5887835061290403"/>
    <x v="9"/>
    <n v="68"/>
    <s v="data"/>
    <s v="outgoing"/>
    <x v="2"/>
    <s v="Normal"/>
  </r>
  <r>
    <d v="2022-02-28T14:45:30"/>
    <n v="-104.77613166997"/>
    <n v="25.8191957662725"/>
    <n v="701.45108807428198"/>
    <x v="3"/>
    <n v="5.7192000989094902"/>
    <n v="8.5899092117676705"/>
    <x v="0"/>
    <n v="28"/>
    <s v="data"/>
    <s v="incoming"/>
    <x v="2"/>
    <s v="Normal"/>
  </r>
  <r>
    <d v="2022-03-01T16:31:56"/>
    <n v="-60.806165620495499"/>
    <n v="10.9153248431361"/>
    <n v="347.16857686498003"/>
    <x v="1"/>
    <n v="9.5099967866966395"/>
    <n v="1.1757566864658899"/>
    <x v="0"/>
    <n v="89"/>
    <s v="data"/>
    <s v="incoming"/>
    <x v="3"/>
    <s v="Normal"/>
  </r>
  <r>
    <d v="2022-03-02T18:03:46"/>
    <n v="-88.722158616289306"/>
    <n v="17.9538745025102"/>
    <n v="1776.09491983937"/>
    <x v="0"/>
    <n v="9.0300055455578399"/>
    <n v="9.5953016229223493"/>
    <x v="5"/>
    <n v="55"/>
    <s v="data"/>
    <s v="outgoing"/>
    <x v="0"/>
    <s v="Normal"/>
  </r>
  <r>
    <d v="2022-03-03T19:23:14"/>
    <n v="-83.727231668493204"/>
    <n v="21.078569980065001"/>
    <n v="661.57708128318097"/>
    <x v="3"/>
    <n v="5.3508085503241896"/>
    <n v="6.4055686051626397"/>
    <x v="6"/>
    <n v="13"/>
    <s v="data"/>
    <s v="outgoing"/>
    <x v="0"/>
    <s v="Normal"/>
  </r>
  <r>
    <d v="2022-03-04T15:54:50"/>
    <n v="-62.020504198666501"/>
    <n v="10.823249706403301"/>
    <n v="707.18055730925505"/>
    <x v="1"/>
    <n v="7.0797090152166398"/>
    <n v="4.6557297574568004"/>
    <x v="9"/>
    <n v="86"/>
    <s v="voice"/>
    <s v="incoming"/>
    <x v="3"/>
    <s v="Normal"/>
  </r>
  <r>
    <d v="2022-03-05T21:44:39"/>
    <n v="-88.879303431101704"/>
    <n v="17.581208931985099"/>
    <n v="692.23873179435896"/>
    <x v="3"/>
    <n v="7.8705687495573304"/>
    <n v="8.6243975709029108"/>
    <x v="3"/>
    <n v="85"/>
    <s v="data"/>
    <s v="outgoing"/>
    <x v="0"/>
    <s v="Normal"/>
  </r>
  <r>
    <d v="2022-03-06T11:38:57"/>
    <n v="-69.038675078788003"/>
    <n v="16.586848378051201"/>
    <n v="1059.89791910896"/>
    <x v="3"/>
    <n v="4.6231260257036002"/>
    <n v="4.5314941885670397"/>
    <x v="3"/>
    <n v="75"/>
    <s v="voice"/>
    <s v="incoming"/>
    <x v="3"/>
    <s v="Normal"/>
  </r>
  <r>
    <d v="2022-03-07T10:32:30"/>
    <n v="-92.964027415951406"/>
    <n v="20.327047269259801"/>
    <n v="502.69690332129397"/>
    <x v="1"/>
    <n v="2.1355330196813598"/>
    <n v="4.2461369114826004"/>
    <x v="3"/>
    <n v="79"/>
    <s v="voice"/>
    <s v="incoming"/>
    <x v="0"/>
    <s v="Normal"/>
  </r>
  <r>
    <d v="2022-03-08T14:33:16"/>
    <n v="-100.57761893232799"/>
    <n v="19.547174090574298"/>
    <n v="535.99164306248997"/>
    <x v="0"/>
    <n v="7.8986501655741002"/>
    <n v="4.0278417925441898"/>
    <x v="0"/>
    <n v="35"/>
    <s v="voice"/>
    <s v="incoming"/>
    <x v="2"/>
    <s v="Normal"/>
  </r>
  <r>
    <d v="2022-03-09T21:22:21"/>
    <n v="-99.297041673326902"/>
    <n v="14.378146839543801"/>
    <n v="685.468257260531"/>
    <x v="2"/>
    <n v="0.117904032905948"/>
    <n v="1.9804259464751499"/>
    <x v="8"/>
    <n v="55"/>
    <s v="data"/>
    <s v="incoming"/>
    <x v="2"/>
    <s v="Normal"/>
  </r>
  <r>
    <d v="2022-03-10T23:17:02"/>
    <n v="-97.260725992243906"/>
    <n v="11.688332196953599"/>
    <n v="1116.7430736629201"/>
    <x v="3"/>
    <n v="3.9553849523384201"/>
    <n v="8.4389620500070404"/>
    <x v="4"/>
    <n v="42"/>
    <s v="voice"/>
    <s v="outgoing"/>
    <x v="2"/>
    <s v="Normal"/>
  </r>
  <r>
    <d v="2022-03-11T15:25:58"/>
    <n v="-93.001808677434497"/>
    <n v="22.0127234999633"/>
    <n v="1105.4184630856601"/>
    <x v="1"/>
    <n v="3.51800630436873"/>
    <n v="7.8275263525845604"/>
    <x v="5"/>
    <n v="2"/>
    <s v="data"/>
    <s v="incoming"/>
    <x v="0"/>
    <s v="Normal"/>
  </r>
  <r>
    <d v="2022-03-12T19:17:54"/>
    <n v="-69.387736018650799"/>
    <n v="23.001914056781199"/>
    <n v="257.13347100732398"/>
    <x v="2"/>
    <n v="4.6057070632743899"/>
    <n v="0.48514002967367298"/>
    <x v="3"/>
    <n v="54"/>
    <s v="data"/>
    <s v="incoming"/>
    <x v="3"/>
    <s v="Normal"/>
  </r>
  <r>
    <d v="2022-03-13T22:04:17"/>
    <n v="-82.622762029967205"/>
    <n v="19.866866226307401"/>
    <n v="1142.4170681195999"/>
    <x v="3"/>
    <n v="3.97846303847014"/>
    <n v="6.9588261137361496"/>
    <x v="2"/>
    <n v="62"/>
    <s v="voice"/>
    <s v="incoming"/>
    <x v="0"/>
    <s v="Normal"/>
  </r>
  <r>
    <d v="2022-03-14T18:43:36"/>
    <n v="-91.539538792768695"/>
    <n v="23.828536979876699"/>
    <n v="940.72493402504995"/>
    <x v="2"/>
    <n v="0.87106488449892905"/>
    <n v="2.6374590815460001E-2"/>
    <x v="8"/>
    <n v="72"/>
    <s v="data"/>
    <s v="incoming"/>
    <x v="0"/>
    <s v="Normal"/>
  </r>
  <r>
    <d v="2022-03-15T11:08:35"/>
    <n v="-88.640953946518593"/>
    <n v="17.013463617151402"/>
    <n v="655.33854799581297"/>
    <x v="0"/>
    <n v="13.7355783217659"/>
    <n v="1.0461685089250401"/>
    <x v="6"/>
    <n v="78"/>
    <s v="data"/>
    <s v="outgoing"/>
    <x v="0"/>
    <s v="High Loss"/>
  </r>
  <r>
    <d v="2022-03-16T10:37:54"/>
    <n v="-92.457498681069794"/>
    <n v="12.6712261495835"/>
    <n v="892.02207604363696"/>
    <x v="0"/>
    <n v="11.1931024249847"/>
    <n v="8.83793661794709"/>
    <x v="2"/>
    <n v="98"/>
    <s v="data"/>
    <s v="incoming"/>
    <x v="0"/>
    <s v="High Loss"/>
  </r>
  <r>
    <d v="2022-03-17T14:08:32"/>
    <n v="-71.929835013830598"/>
    <n v="21.466823084059602"/>
    <n v="1517.5707759234799"/>
    <x v="1"/>
    <n v="7.0388392708936598E-2"/>
    <n v="7.1853337176457597"/>
    <x v="6"/>
    <n v="78"/>
    <s v="data"/>
    <s v="outgoing"/>
    <x v="3"/>
    <s v="Normal"/>
  </r>
  <r>
    <d v="2022-03-18T09:54:11"/>
    <n v="-86.539831732868095"/>
    <n v="17.692693360231701"/>
    <n v="557.17631184375705"/>
    <x v="1"/>
    <n v="5.4231289721551397"/>
    <n v="3.7609749419000802"/>
    <x v="1"/>
    <n v="81"/>
    <s v="data"/>
    <s v="incoming"/>
    <x v="0"/>
    <s v="Normal"/>
  </r>
  <r>
    <d v="2022-03-19T20:52:57"/>
    <n v="-107.757300211494"/>
    <n v="21.380414043647299"/>
    <n v="1763.06569186516"/>
    <x v="0"/>
    <n v="10.679573945416299"/>
    <n v="6.0810708530528501"/>
    <x v="1"/>
    <n v="28"/>
    <s v="data"/>
    <s v="incoming"/>
    <x v="2"/>
    <s v="High Loss"/>
  </r>
  <r>
    <d v="2022-03-20T21:47:22"/>
    <n v="-97.619228448861193"/>
    <n v="19.192166262772901"/>
    <n v="465.30723325788398"/>
    <x v="1"/>
    <n v="4.4341109299522099"/>
    <n v="4.6746545260612802"/>
    <x v="3"/>
    <n v="64"/>
    <s v="voice"/>
    <s v="incoming"/>
    <x v="2"/>
    <s v="Normal"/>
  </r>
  <r>
    <d v="2022-03-21T11:46:59"/>
    <n v="-104.138485486658"/>
    <n v="21.4042825795519"/>
    <n v="1297.6040106768701"/>
    <x v="3"/>
    <n v="7.1357528105423604"/>
    <n v="6.67371126163449"/>
    <x v="3"/>
    <n v="36"/>
    <s v="voice"/>
    <s v="incoming"/>
    <x v="2"/>
    <s v="Normal"/>
  </r>
  <r>
    <d v="2022-03-22T23:04:15"/>
    <n v="-81.374547392828305"/>
    <n v="19.584328384380299"/>
    <n v="1164.2132402073801"/>
    <x v="1"/>
    <n v="1.7433921403402599"/>
    <n v="8.0783402988243402"/>
    <x v="2"/>
    <n v="28"/>
    <s v="voice"/>
    <s v="incoming"/>
    <x v="0"/>
    <s v="Normal"/>
  </r>
  <r>
    <d v="2022-03-23T09:22:00"/>
    <n v="-65.733584286847901"/>
    <n v="22.826935875764899"/>
    <n v="1289.07619490241"/>
    <x v="2"/>
    <n v="4.3485787519193497"/>
    <n v="4.2881559722820697"/>
    <x v="5"/>
    <n v="3"/>
    <s v="data"/>
    <s v="outgoing"/>
    <x v="3"/>
    <s v="Normal"/>
  </r>
  <r>
    <d v="2022-03-24T16:10:05"/>
    <n v="-81.339853904121995"/>
    <n v="24.592112642173198"/>
    <n v="337.78536409144198"/>
    <x v="0"/>
    <n v="9.5312110710481495"/>
    <n v="3.47684780949796"/>
    <x v="0"/>
    <n v="65"/>
    <s v="voice"/>
    <s v="incoming"/>
    <x v="0"/>
    <s v="Normal"/>
  </r>
  <r>
    <d v="2022-03-25T10:23:08"/>
    <n v="-82.6314361335358"/>
    <n v="22.514611271366199"/>
    <n v="285.40593592318203"/>
    <x v="1"/>
    <n v="0.50206215178933999"/>
    <n v="4.8079636756401296"/>
    <x v="0"/>
    <n v="74"/>
    <s v="data"/>
    <s v="outgoing"/>
    <x v="0"/>
    <s v="Normal"/>
  </r>
  <r>
    <d v="2022-03-26T19:45:50"/>
    <n v="-74.792180402227601"/>
    <n v="21.8200139683244"/>
    <n v="1610.6360363961201"/>
    <x v="1"/>
    <n v="9.2051877341402708"/>
    <n v="0.83333938553050702"/>
    <x v="2"/>
    <n v="24"/>
    <s v="data"/>
    <s v="outgoing"/>
    <x v="3"/>
    <s v="Normal"/>
  </r>
  <r>
    <d v="2022-03-27T18:13:10"/>
    <n v="-82.601217722390203"/>
    <n v="11.8513449547309"/>
    <n v="262.63550544459503"/>
    <x v="2"/>
    <n v="1.67383589739002"/>
    <n v="3.0554406600328199"/>
    <x v="2"/>
    <n v="2"/>
    <s v="data"/>
    <s v="outgoing"/>
    <x v="0"/>
    <s v="Normal"/>
  </r>
  <r>
    <d v="2022-03-28T13:34:38"/>
    <n v="-93.133901221280297"/>
    <n v="15.9499003177758"/>
    <n v="165.71090922690999"/>
    <x v="0"/>
    <n v="8.3267428593458508"/>
    <n v="6.5190619273040999"/>
    <x v="6"/>
    <n v="31"/>
    <s v="voice"/>
    <s v="outgoing"/>
    <x v="0"/>
    <s v="Normal"/>
  </r>
  <r>
    <d v="2022-03-29T16:37:56"/>
    <n v="-76.373473338392699"/>
    <n v="21.777187520198201"/>
    <n v="40.0936755271143"/>
    <x v="2"/>
    <n v="4.4468686398732604"/>
    <n v="5.9844458411567301"/>
    <x v="6"/>
    <n v="89"/>
    <s v="data"/>
    <s v="outgoing"/>
    <x v="3"/>
    <s v="Normal"/>
  </r>
  <r>
    <d v="2022-03-30T12:43:52"/>
    <n v="-61.225317298416101"/>
    <n v="20.902030826299399"/>
    <n v="556.783053633588"/>
    <x v="1"/>
    <n v="7.1563682798736403"/>
    <n v="0.52818691352637803"/>
    <x v="9"/>
    <n v="57"/>
    <s v="voice"/>
    <s v="outgoing"/>
    <x v="3"/>
    <s v="Normal"/>
  </r>
  <r>
    <d v="2022-03-31T11:58:05"/>
    <n v="-99.341625622622601"/>
    <n v="14.182132549729801"/>
    <n v="707.81860811688796"/>
    <x v="2"/>
    <n v="3.5890694780927399"/>
    <n v="8.5042116837455399"/>
    <x v="5"/>
    <n v="50"/>
    <s v="voice"/>
    <s v="outgoing"/>
    <x v="2"/>
    <s v="Normal"/>
  </r>
  <r>
    <d v="2022-04-01T09:33:14"/>
    <n v="-101.815438569899"/>
    <n v="12.3317850945228"/>
    <n v="110.15712089456299"/>
    <x v="3"/>
    <n v="2.3874126801220399"/>
    <n v="7.6109419384930099"/>
    <x v="9"/>
    <n v="78"/>
    <s v="data"/>
    <s v="outgoing"/>
    <x v="2"/>
    <s v="Normal"/>
  </r>
  <r>
    <d v="2022-04-02T19:03:47"/>
    <n v="-60.573040098274198"/>
    <n v="21.741169351598899"/>
    <n v="822.95459841002298"/>
    <x v="1"/>
    <n v="8.0255063651852705"/>
    <n v="2.4400147379292401"/>
    <x v="1"/>
    <n v="81"/>
    <s v="voice"/>
    <s v="outgoing"/>
    <x v="3"/>
    <s v="Normal"/>
  </r>
  <r>
    <d v="2022-04-03T10:49:29"/>
    <n v="-89.368982412175697"/>
    <n v="25.999935507300101"/>
    <n v="854.28098779349205"/>
    <x v="1"/>
    <n v="6.6735766408862904"/>
    <n v="7.1304670049349896"/>
    <x v="0"/>
    <n v="51"/>
    <s v="data"/>
    <s v="outgoing"/>
    <x v="0"/>
    <s v="Normal"/>
  </r>
  <r>
    <d v="2022-04-04T18:47:00"/>
    <n v="-101.738417210905"/>
    <n v="29.413417967439599"/>
    <n v="1193.30551909479"/>
    <x v="0"/>
    <n v="5.3334813379235904"/>
    <n v="5.6656378867806696"/>
    <x v="8"/>
    <n v="14"/>
    <s v="voice"/>
    <s v="outgoing"/>
    <x v="2"/>
    <s v="Normal"/>
  </r>
  <r>
    <d v="2022-04-05T14:59:46"/>
    <n v="-98.877490543153698"/>
    <n v="28.212142285440599"/>
    <n v="235.83937089868701"/>
    <x v="1"/>
    <n v="5.4780682201720401"/>
    <n v="0.42904829305072201"/>
    <x v="9"/>
    <n v="7"/>
    <s v="voice"/>
    <s v="outgoing"/>
    <x v="2"/>
    <s v="Normal"/>
  </r>
  <r>
    <d v="2022-04-06T22:28:08"/>
    <n v="-101.658053673113"/>
    <n v="25.8256321161657"/>
    <n v="364.18341530477898"/>
    <x v="3"/>
    <n v="2.0042664690743601"/>
    <n v="5.5762142642137"/>
    <x v="2"/>
    <n v="37"/>
    <s v="voice"/>
    <s v="incoming"/>
    <x v="2"/>
    <s v="Normal"/>
  </r>
  <r>
    <d v="2022-04-07T15:49:57"/>
    <n v="-73.275166199307094"/>
    <n v="25.700853318683301"/>
    <n v="1554.7049101002699"/>
    <x v="1"/>
    <n v="3.90158791737566"/>
    <n v="4.8632010290302699"/>
    <x v="1"/>
    <n v="40"/>
    <s v="data"/>
    <s v="incoming"/>
    <x v="3"/>
    <s v="Normal"/>
  </r>
  <r>
    <d v="2022-04-08T22:25:19"/>
    <n v="-96.827836501310003"/>
    <n v="26.600636448305298"/>
    <n v="724.95001482008502"/>
    <x v="3"/>
    <n v="3.1064403491213501"/>
    <n v="8.9012311318497801"/>
    <x v="2"/>
    <n v="92"/>
    <s v="data"/>
    <s v="outgoing"/>
    <x v="2"/>
    <s v="Normal"/>
  </r>
  <r>
    <d v="2022-04-09T14:38:50"/>
    <n v="-77.528820264604505"/>
    <n v="24.400241673822201"/>
    <n v="1136.8628702368801"/>
    <x v="0"/>
    <n v="7.1412450402960301"/>
    <n v="2.14836775999331"/>
    <x v="2"/>
    <n v="24"/>
    <s v="data"/>
    <s v="outgoing"/>
    <x v="3"/>
    <s v="Normal"/>
  </r>
  <r>
    <d v="2022-04-10T14:19:14"/>
    <n v="-60.736138259707097"/>
    <n v="14.3214495842775"/>
    <n v="478.26797634820701"/>
    <x v="2"/>
    <n v="4.6729351984292196"/>
    <n v="1.4251760775850399"/>
    <x v="7"/>
    <n v="86"/>
    <s v="data"/>
    <s v="incoming"/>
    <x v="3"/>
    <s v="Normal"/>
  </r>
  <r>
    <d v="2022-04-11T10:28:40"/>
    <n v="-98.043378471965298"/>
    <n v="19.391700203705799"/>
    <n v="1128.4759075305501"/>
    <x v="3"/>
    <n v="3.60012533080425"/>
    <n v="3.70022949382499"/>
    <x v="7"/>
    <n v="35"/>
    <s v="voice"/>
    <s v="incoming"/>
    <x v="2"/>
    <s v="Normal"/>
  </r>
  <r>
    <d v="2022-04-12T12:03:16"/>
    <n v="-95.645111493815094"/>
    <n v="13.4468848708542"/>
    <n v="241.08877017416901"/>
    <x v="2"/>
    <n v="1.6627762037117"/>
    <n v="8.3532521342016395"/>
    <x v="9"/>
    <n v="45"/>
    <s v="voice"/>
    <s v="incoming"/>
    <x v="2"/>
    <s v="Normal"/>
  </r>
  <r>
    <d v="2022-04-13T17:27:50"/>
    <n v="-84.296509842371506"/>
    <n v="27.074460751633399"/>
    <n v="362.100192701335"/>
    <x v="0"/>
    <n v="6.4527428650885597"/>
    <n v="5.9039768119854701"/>
    <x v="0"/>
    <n v="23"/>
    <s v="data"/>
    <s v="outgoing"/>
    <x v="0"/>
    <s v="Normal"/>
  </r>
  <r>
    <d v="2022-04-14T20:04:31"/>
    <n v="-64.033804785355599"/>
    <n v="22.906430857467502"/>
    <n v="1259.9100500849499"/>
    <x v="1"/>
    <n v="0.30671741366236599"/>
    <n v="3.6209390708031801"/>
    <x v="2"/>
    <n v="88"/>
    <s v="data"/>
    <s v="outgoing"/>
    <x v="3"/>
    <s v="Normal"/>
  </r>
  <r>
    <d v="2022-04-15T09:17:30"/>
    <n v="-98.740206282791902"/>
    <n v="14.7003793457376"/>
    <n v="608.49255360896495"/>
    <x v="2"/>
    <n v="0.27737157617477598"/>
    <n v="5.4445835677469701"/>
    <x v="8"/>
    <n v="65"/>
    <s v="data"/>
    <s v="outgoing"/>
    <x v="2"/>
    <s v="Normal"/>
  </r>
  <r>
    <d v="2022-04-16T10:00:54"/>
    <n v="-57.991548168585197"/>
    <n v="13.9748999288484"/>
    <n v="1639.7686683859799"/>
    <x v="2"/>
    <n v="3.1229597663466802"/>
    <n v="6.7499665686333596"/>
    <x v="1"/>
    <n v="1"/>
    <s v="data"/>
    <s v="incoming"/>
    <x v="3"/>
    <s v="Normal"/>
  </r>
  <r>
    <d v="2022-04-17T23:11:52"/>
    <n v="-76.736592855279696"/>
    <n v="23.144619862292799"/>
    <n v="919.43341419972"/>
    <x v="3"/>
    <n v="6.7509543293572198"/>
    <n v="8.7557138576881997"/>
    <x v="0"/>
    <n v="99"/>
    <s v="data"/>
    <s v="incoming"/>
    <x v="3"/>
    <s v="Normal"/>
  </r>
  <r>
    <d v="2022-04-18T20:03:11"/>
    <n v="-69.652376647191005"/>
    <n v="27.3477074254304"/>
    <n v="1759.8345699979"/>
    <x v="1"/>
    <n v="6.4825406652422801"/>
    <n v="2.9545349520959401"/>
    <x v="5"/>
    <n v="38"/>
    <s v="data"/>
    <s v="incoming"/>
    <x v="3"/>
    <s v="Normal"/>
  </r>
  <r>
    <d v="2022-04-19T19:39:20"/>
    <n v="-111.569018822751"/>
    <n v="16.556455225124299"/>
    <n v="522.40173208927001"/>
    <x v="2"/>
    <n v="3.1313725599229798"/>
    <n v="0.51607180513996198"/>
    <x v="0"/>
    <n v="10"/>
    <s v="voice"/>
    <s v="incoming"/>
    <x v="1"/>
    <s v="Normal"/>
  </r>
  <r>
    <d v="2022-04-20T18:25:29"/>
    <n v="-79.680165957077406"/>
    <n v="28.091547752407799"/>
    <n v="793.49891810614497"/>
    <x v="3"/>
    <n v="6.6875485585907803"/>
    <n v="4.5747774664234999"/>
    <x v="1"/>
    <n v="69"/>
    <s v="voice"/>
    <s v="incoming"/>
    <x v="3"/>
    <s v="Normal"/>
  </r>
  <r>
    <d v="2022-04-21T15:29:36"/>
    <n v="-81.448844884042302"/>
    <n v="12.673076746555401"/>
    <n v="171.46277020262201"/>
    <x v="0"/>
    <n v="13.403373952246"/>
    <n v="4.3975784911869402"/>
    <x v="1"/>
    <n v="73"/>
    <s v="data"/>
    <s v="outgoing"/>
    <x v="0"/>
    <s v="High Loss"/>
  </r>
  <r>
    <d v="2022-04-22T19:35:46"/>
    <n v="-79.995892162925998"/>
    <n v="13.475090687620099"/>
    <n v="235.98126768132099"/>
    <x v="3"/>
    <n v="3.4394130303430699"/>
    <n v="3.6451171061447298"/>
    <x v="2"/>
    <n v="66"/>
    <s v="voice"/>
    <s v="outgoing"/>
    <x v="3"/>
    <s v="Normal"/>
  </r>
  <r>
    <d v="2022-04-23T17:32:57"/>
    <n v="-78.783383384190003"/>
    <n v="11.650995348661199"/>
    <n v="198.61771669906199"/>
    <x v="1"/>
    <n v="6.2163019290017196"/>
    <n v="3.46976888429124"/>
    <x v="5"/>
    <n v="36"/>
    <s v="voice"/>
    <s v="outgoing"/>
    <x v="3"/>
    <s v="Normal"/>
  </r>
  <r>
    <d v="2022-04-24T18:43:58"/>
    <n v="-97.395479053449606"/>
    <n v="16.912029042450801"/>
    <n v="385.99624201008498"/>
    <x v="1"/>
    <n v="1.9393847808476601"/>
    <n v="9.3440557381279703"/>
    <x v="7"/>
    <n v="53"/>
    <s v="voice"/>
    <s v="incoming"/>
    <x v="2"/>
    <s v="Normal"/>
  </r>
  <r>
    <d v="2022-04-25T22:29:45"/>
    <n v="-105.76223420263101"/>
    <n v="15.0218581498953"/>
    <n v="1153.80064865948"/>
    <x v="0"/>
    <n v="8.1559770657150192"/>
    <n v="9.7451044556272599"/>
    <x v="3"/>
    <n v="52"/>
    <s v="data"/>
    <s v="incoming"/>
    <x v="2"/>
    <s v="Normal"/>
  </r>
  <r>
    <d v="2022-04-26T09:55:24"/>
    <n v="-90.742821735791694"/>
    <n v="23.342807580989898"/>
    <n v="494.12410035607002"/>
    <x v="0"/>
    <n v="12.6719426133062"/>
    <n v="1.93576673395608"/>
    <x v="3"/>
    <n v="5"/>
    <s v="voice"/>
    <s v="incoming"/>
    <x v="0"/>
    <s v="High Loss"/>
  </r>
  <r>
    <d v="2022-04-27T17:53:25"/>
    <n v="-76.069528640702401"/>
    <n v="23.1676276354249"/>
    <n v="975.83599518381004"/>
    <x v="1"/>
    <n v="0.49500367078079899"/>
    <n v="0.80055585658134398"/>
    <x v="5"/>
    <n v="52"/>
    <s v="data"/>
    <s v="incoming"/>
    <x v="3"/>
    <s v="Normal"/>
  </r>
  <r>
    <d v="2022-04-28T16:56:21"/>
    <n v="-72.656677085497506"/>
    <n v="29.963213447743598"/>
    <n v="1137.4339928956499"/>
    <x v="0"/>
    <n v="9.8359785040913508"/>
    <n v="7.74237546842296"/>
    <x v="8"/>
    <n v="75"/>
    <s v="data"/>
    <s v="outgoing"/>
    <x v="3"/>
    <s v="Normal"/>
  </r>
  <r>
    <d v="2022-04-29T15:28:45"/>
    <n v="-84.230276290375301"/>
    <n v="16.969642457053201"/>
    <n v="689.42646955874397"/>
    <x v="2"/>
    <n v="1.14785618101535"/>
    <n v="8.7253898580526208"/>
    <x v="3"/>
    <n v="53"/>
    <s v="data"/>
    <s v="incoming"/>
    <x v="0"/>
    <s v="Normal"/>
  </r>
  <r>
    <d v="2022-04-30T19:45:12"/>
    <n v="-86.953923540828995"/>
    <n v="18.931128769281202"/>
    <n v="1444.9565575856"/>
    <x v="2"/>
    <n v="3.14696057330044"/>
    <n v="0.42334999410569701"/>
    <x v="1"/>
    <n v="66"/>
    <s v="voice"/>
    <s v="incoming"/>
    <x v="0"/>
    <s v="Normal"/>
  </r>
  <r>
    <d v="2022-05-01T16:32:26"/>
    <n v="-60.8124416975743"/>
    <n v="21.237175426777"/>
    <n v="540.39699992884698"/>
    <x v="2"/>
    <n v="1.1391905963781801"/>
    <n v="9.9787427755663494"/>
    <x v="4"/>
    <n v="13"/>
    <s v="voice"/>
    <s v="incoming"/>
    <x v="3"/>
    <s v="Normal"/>
  </r>
  <r>
    <d v="2022-05-02T20:30:01"/>
    <n v="-88.382045576767595"/>
    <n v="13.386952773387501"/>
    <n v="157.10005535090801"/>
    <x v="0"/>
    <n v="6.7662545480700098"/>
    <n v="2.70769781691176"/>
    <x v="6"/>
    <n v="95"/>
    <s v="data"/>
    <s v="incoming"/>
    <x v="0"/>
    <s v="Normal"/>
  </r>
  <r>
    <d v="2022-05-03T16:51:03"/>
    <n v="-97.711579681297295"/>
    <n v="16.964323771336101"/>
    <n v="936.26621218579896"/>
    <x v="2"/>
    <n v="1.4917153705569699"/>
    <n v="7.0184214097429196"/>
    <x v="3"/>
    <n v="67"/>
    <s v="voice"/>
    <s v="outgoing"/>
    <x v="2"/>
    <s v="Normal"/>
  </r>
  <r>
    <d v="2022-05-04T18:02:53"/>
    <n v="-68.161981296612197"/>
    <n v="11.6552135735734"/>
    <n v="1654.4496726718301"/>
    <x v="1"/>
    <n v="5.9234180678102399"/>
    <n v="8.1069067515938595"/>
    <x v="8"/>
    <n v="35"/>
    <s v="voice"/>
    <s v="outgoing"/>
    <x v="3"/>
    <s v="Normal"/>
  </r>
  <r>
    <d v="2022-05-05T19:26:41"/>
    <n v="-70.473326287539507"/>
    <n v="27.131908655879201"/>
    <n v="360.07757341354301"/>
    <x v="0"/>
    <n v="5.6698654130431896"/>
    <n v="8.1912360349966509"/>
    <x v="4"/>
    <n v="30"/>
    <s v="data"/>
    <s v="incoming"/>
    <x v="3"/>
    <s v="Normal"/>
  </r>
  <r>
    <d v="2022-05-06T18:44:50"/>
    <n v="-81.202069853965"/>
    <n v="26.7012868947815"/>
    <n v="1655.2168121045399"/>
    <x v="2"/>
    <n v="3.6334643945707001"/>
    <n v="4.7781089407743798"/>
    <x v="4"/>
    <n v="14"/>
    <s v="voice"/>
    <s v="outgoing"/>
    <x v="0"/>
    <s v="Normal"/>
  </r>
  <r>
    <d v="2022-05-07T20:34:11"/>
    <n v="-66.710577269143698"/>
    <n v="28.4120573989665"/>
    <n v="949.12383300311797"/>
    <x v="3"/>
    <n v="7.2678361742712303"/>
    <n v="5.04592004495984"/>
    <x v="8"/>
    <n v="95"/>
    <s v="data"/>
    <s v="incoming"/>
    <x v="3"/>
    <s v="Normal"/>
  </r>
  <r>
    <d v="2022-05-08T13:57:51"/>
    <n v="-75.537733296496697"/>
    <n v="27.7328653967812"/>
    <n v="199.32269924511601"/>
    <x v="1"/>
    <n v="9.9556322688834396"/>
    <n v="4.3057583900363303"/>
    <x v="2"/>
    <n v="63"/>
    <s v="data"/>
    <s v="incoming"/>
    <x v="3"/>
    <s v="Normal"/>
  </r>
  <r>
    <d v="2022-05-09T22:10:50"/>
    <n v="-93.659222096430398"/>
    <n v="18.320766843069801"/>
    <n v="565.738736267337"/>
    <x v="3"/>
    <n v="4.9628325113149998"/>
    <n v="0.75288137813023404"/>
    <x v="5"/>
    <n v="4"/>
    <s v="data"/>
    <s v="incoming"/>
    <x v="0"/>
    <s v="Normal"/>
  </r>
  <r>
    <d v="2022-05-10T22:38:59"/>
    <n v="-66.377561965787805"/>
    <n v="11.7343070296865"/>
    <n v="569.64378576422996"/>
    <x v="2"/>
    <n v="1.26250057076407"/>
    <n v="1.5131721830065199"/>
    <x v="4"/>
    <n v="90"/>
    <s v="voice"/>
    <s v="outgoing"/>
    <x v="3"/>
    <s v="Normal"/>
  </r>
  <r>
    <d v="2022-05-11T19:40:26"/>
    <n v="-115.25904426107"/>
    <n v="18.884963590506899"/>
    <n v="1406.43320841641"/>
    <x v="2"/>
    <n v="4.3051839833060104"/>
    <n v="9.6057600505226901"/>
    <x v="4"/>
    <n v="97"/>
    <s v="data"/>
    <s v="outgoing"/>
    <x v="1"/>
    <s v="Normal"/>
  </r>
  <r>
    <d v="2022-05-12T23:00:18"/>
    <n v="-69.465501665308693"/>
    <n v="12.330209795605001"/>
    <n v="395.41531996371498"/>
    <x v="3"/>
    <n v="7.0659918712028604"/>
    <n v="5.0845490352284797"/>
    <x v="4"/>
    <n v="44"/>
    <s v="data"/>
    <s v="outgoing"/>
    <x v="3"/>
    <s v="Normal"/>
  </r>
  <r>
    <d v="2022-05-13T19:16:32"/>
    <n v="-75.015584867560506"/>
    <n v="12.713415489822699"/>
    <n v="1617.82304939153"/>
    <x v="0"/>
    <n v="6.1283116569449003"/>
    <n v="9.1500341461296202"/>
    <x v="5"/>
    <n v="6"/>
    <s v="voice"/>
    <s v="incoming"/>
    <x v="3"/>
    <s v="Normal"/>
  </r>
  <r>
    <d v="2022-05-14T14:17:55"/>
    <n v="-76.881604351289198"/>
    <n v="28.306054053979999"/>
    <n v="1558.6560315642"/>
    <x v="3"/>
    <n v="3.0622240563468499"/>
    <n v="0.13056595401379301"/>
    <x v="8"/>
    <n v="99"/>
    <s v="voice"/>
    <s v="incoming"/>
    <x v="3"/>
    <s v="Normal"/>
  </r>
  <r>
    <d v="2022-05-15T16:44:21"/>
    <n v="-97.974458870865007"/>
    <n v="27.082821881350899"/>
    <n v="1732.0677679575499"/>
    <x v="2"/>
    <n v="2.9652350536460599"/>
    <n v="3.1219380273698998"/>
    <x v="5"/>
    <n v="91"/>
    <s v="voice"/>
    <s v="incoming"/>
    <x v="2"/>
    <s v="Normal"/>
  </r>
  <r>
    <d v="2022-05-16T10:37:26"/>
    <n v="-97.187740186363797"/>
    <n v="18.971054730891598"/>
    <n v="221.79669840711901"/>
    <x v="0"/>
    <n v="13.640795050447901"/>
    <n v="7.6399436490392496"/>
    <x v="7"/>
    <n v="34"/>
    <s v="voice"/>
    <s v="incoming"/>
    <x v="2"/>
    <s v="High Loss"/>
  </r>
  <r>
    <d v="2022-05-17T20:45:25"/>
    <n v="-98.806246107094097"/>
    <n v="11.0890711331219"/>
    <n v="690.51928550262096"/>
    <x v="0"/>
    <n v="11.534570193636201"/>
    <n v="9.8695459530821008"/>
    <x v="2"/>
    <n v="87"/>
    <s v="voice"/>
    <s v="incoming"/>
    <x v="2"/>
    <s v="High Loss"/>
  </r>
  <r>
    <d v="2022-05-18T16:57:37"/>
    <n v="-108.954401303818"/>
    <n v="22.0618473104341"/>
    <n v="201.044818227094"/>
    <x v="0"/>
    <n v="13.616903146871399"/>
    <n v="7.4693460553676196"/>
    <x v="2"/>
    <n v="83"/>
    <s v="data"/>
    <s v="incoming"/>
    <x v="2"/>
    <s v="High Loss"/>
  </r>
  <r>
    <d v="2022-05-19T23:23:01"/>
    <n v="-87.2517038488715"/>
    <n v="20.675113187186401"/>
    <n v="1715.3227827892899"/>
    <x v="0"/>
    <n v="12.404708299746201"/>
    <n v="7.81205207061618"/>
    <x v="7"/>
    <n v="81"/>
    <s v="voice"/>
    <s v="incoming"/>
    <x v="0"/>
    <s v="High Loss"/>
  </r>
  <r>
    <d v="2022-05-20T19:48:36"/>
    <n v="-81.527329237291298"/>
    <n v="27.250128336335401"/>
    <n v="1633.67795034658"/>
    <x v="1"/>
    <n v="7.9044959078565604"/>
    <n v="5.4793881420950399"/>
    <x v="5"/>
    <n v="47"/>
    <s v="data"/>
    <s v="incoming"/>
    <x v="0"/>
    <s v="Normal"/>
  </r>
  <r>
    <d v="2022-05-21T09:15:06"/>
    <n v="-90.179147899157599"/>
    <n v="13.574310246886901"/>
    <n v="1697.97953915419"/>
    <x v="0"/>
    <n v="13.469249782022599"/>
    <n v="8.6696059998527009"/>
    <x v="6"/>
    <n v="78"/>
    <s v="voice"/>
    <s v="incoming"/>
    <x v="0"/>
    <s v="High Loss"/>
  </r>
  <r>
    <d v="2022-05-22T15:42:25"/>
    <n v="-100.455825772024"/>
    <n v="13.8999587984848"/>
    <n v="1435.55506213218"/>
    <x v="3"/>
    <n v="7.2484403701712399"/>
    <n v="7.1519277093553999"/>
    <x v="4"/>
    <n v="96"/>
    <s v="voice"/>
    <s v="outgoing"/>
    <x v="2"/>
    <s v="Normal"/>
  </r>
  <r>
    <d v="2022-05-23T20:18:17"/>
    <n v="-50.933754301928502"/>
    <n v="22.777548351822201"/>
    <n v="360.218316007125"/>
    <x v="2"/>
    <n v="3.7204276673643899"/>
    <n v="3.4626862644400398"/>
    <x v="3"/>
    <n v="18"/>
    <s v="voice"/>
    <s v="incoming"/>
    <x v="3"/>
    <s v="Normal"/>
  </r>
  <r>
    <d v="2022-05-24T13:37:57"/>
    <n v="-74.341203790799895"/>
    <n v="15.1655638706308"/>
    <n v="1792.2576855978"/>
    <x v="2"/>
    <n v="2.2040602207906201"/>
    <n v="9.3189568684420294"/>
    <x v="5"/>
    <n v="69"/>
    <s v="data"/>
    <s v="incoming"/>
    <x v="3"/>
    <s v="Normal"/>
  </r>
  <r>
    <d v="2022-05-25T18:46:57"/>
    <n v="-74.130390173592701"/>
    <n v="21.032955712772399"/>
    <n v="1533.5423319352301"/>
    <x v="1"/>
    <n v="7.33105558182538"/>
    <n v="8.5212783841784994"/>
    <x v="3"/>
    <n v="81"/>
    <s v="data"/>
    <s v="outgoing"/>
    <x v="3"/>
    <s v="Normal"/>
  </r>
  <r>
    <d v="2022-05-26T17:40:09"/>
    <n v="-90.049546954967397"/>
    <n v="21.830699136788802"/>
    <n v="165.953509951499"/>
    <x v="3"/>
    <n v="6.8862605604137599"/>
    <n v="1.3680246860760901"/>
    <x v="9"/>
    <n v="10"/>
    <s v="voice"/>
    <s v="outgoing"/>
    <x v="0"/>
    <s v="Normal"/>
  </r>
  <r>
    <d v="2022-05-27T19:05:02"/>
    <n v="-75.506463903533501"/>
    <n v="28.200970177895201"/>
    <n v="1639.98368061019"/>
    <x v="0"/>
    <n v="7.5583973776904401"/>
    <n v="0.70195052353843002"/>
    <x v="5"/>
    <n v="82"/>
    <s v="data"/>
    <s v="outgoing"/>
    <x v="3"/>
    <s v="Normal"/>
  </r>
  <r>
    <d v="2022-05-28T21:19:09"/>
    <n v="-83.562631775238998"/>
    <n v="26.342585138559699"/>
    <n v="926.54124437492806"/>
    <x v="1"/>
    <n v="9.9848664256080593"/>
    <n v="0.67054808241164798"/>
    <x v="2"/>
    <n v="79"/>
    <s v="data"/>
    <s v="outgoing"/>
    <x v="0"/>
    <s v="Normal"/>
  </r>
  <r>
    <d v="2022-05-29T23:08:39"/>
    <n v="-64.828292776385098"/>
    <n v="11.6758147208345"/>
    <n v="400.47957782018898"/>
    <x v="2"/>
    <n v="1.62102842195629"/>
    <n v="0.214151275264929"/>
    <x v="7"/>
    <n v="62"/>
    <s v="voice"/>
    <s v="incoming"/>
    <x v="3"/>
    <s v="Normal"/>
  </r>
  <r>
    <d v="2022-05-30T23:10:04"/>
    <n v="-73.038052357094102"/>
    <n v="21.007353143298001"/>
    <n v="1459.9553729596601"/>
    <x v="1"/>
    <n v="8.9280510381394897"/>
    <n v="5.15860333770891"/>
    <x v="7"/>
    <n v="67"/>
    <s v="data"/>
    <s v="incoming"/>
    <x v="3"/>
    <s v="Normal"/>
  </r>
  <r>
    <d v="2022-05-31T23:34:46"/>
    <n v="-90.113317298889896"/>
    <n v="21.241479857825301"/>
    <n v="928.627967640419"/>
    <x v="3"/>
    <n v="2.5144295404618302"/>
    <n v="7.5337711314195301"/>
    <x v="6"/>
    <n v="70"/>
    <s v="data"/>
    <s v="outgoing"/>
    <x v="0"/>
    <s v="Normal"/>
  </r>
  <r>
    <d v="2022-06-01T10:51:20"/>
    <n v="-91.622688656485394"/>
    <n v="15.3171384523831"/>
    <n v="1787.06797186323"/>
    <x v="3"/>
    <n v="6.6720304162924702"/>
    <n v="2.92342766024505"/>
    <x v="5"/>
    <n v="94"/>
    <s v="data"/>
    <s v="outgoing"/>
    <x v="0"/>
    <s v="Normal"/>
  </r>
  <r>
    <d v="2022-06-02T10:00:26"/>
    <n v="-74.5024590817073"/>
    <n v="26.8731087110346"/>
    <n v="787.14099629072803"/>
    <x v="1"/>
    <n v="6.2607348537010097"/>
    <n v="0.40412158390642999"/>
    <x v="2"/>
    <n v="50"/>
    <s v="voice"/>
    <s v="incoming"/>
    <x v="3"/>
    <s v="Normal"/>
  </r>
  <r>
    <d v="2022-06-03T14:09:51"/>
    <n v="-63.697188821906401"/>
    <n v="13.3624029183649"/>
    <n v="1022.9738529247099"/>
    <x v="1"/>
    <n v="0.89807058839139497"/>
    <n v="7.8477774513937604"/>
    <x v="3"/>
    <n v="11"/>
    <s v="voice"/>
    <s v="incoming"/>
    <x v="3"/>
    <s v="Normal"/>
  </r>
  <r>
    <d v="2022-06-04T10:58:49"/>
    <n v="-70.771797696996998"/>
    <n v="12.693206038280801"/>
    <n v="1534.8440263339801"/>
    <x v="1"/>
    <n v="7.3603546111583498"/>
    <n v="4.6524169185433797"/>
    <x v="1"/>
    <n v="24"/>
    <s v="data"/>
    <s v="outgoing"/>
    <x v="3"/>
    <s v="Normal"/>
  </r>
  <r>
    <d v="2022-06-05T14:04:40"/>
    <n v="-86.185889514544002"/>
    <n v="17.3721939710667"/>
    <n v="1499.44108318393"/>
    <x v="1"/>
    <n v="8.8218147268629696"/>
    <n v="3.9097208277766198"/>
    <x v="1"/>
    <n v="77"/>
    <s v="voice"/>
    <s v="outgoing"/>
    <x v="0"/>
    <s v="Normal"/>
  </r>
  <r>
    <d v="2022-06-06T16:13:59"/>
    <n v="-89.734381959335195"/>
    <n v="10.9814865761465"/>
    <n v="972.09572192275004"/>
    <x v="0"/>
    <n v="13.0120908322709"/>
    <n v="3.1754326588629098"/>
    <x v="3"/>
    <n v="28"/>
    <s v="data"/>
    <s v="incoming"/>
    <x v="0"/>
    <s v="High Loss"/>
  </r>
  <r>
    <d v="2022-06-07T11:16:51"/>
    <n v="-85.265388113688402"/>
    <n v="23.132468889493101"/>
    <n v="957.06767564947495"/>
    <x v="1"/>
    <n v="9.2094467427368105"/>
    <n v="1.11477380665829"/>
    <x v="9"/>
    <n v="28"/>
    <s v="voice"/>
    <s v="outgoing"/>
    <x v="0"/>
    <s v="Normal"/>
  </r>
  <r>
    <d v="2022-06-08T18:56:10"/>
    <n v="-64.864666941549402"/>
    <n v="21.878372919461398"/>
    <n v="1492.9638069258499"/>
    <x v="2"/>
    <n v="2.2668898197727598"/>
    <n v="8.5965309315275995"/>
    <x v="3"/>
    <n v="81"/>
    <s v="data"/>
    <s v="incoming"/>
    <x v="3"/>
    <s v="Normal"/>
  </r>
  <r>
    <d v="2022-06-09T10:33:02"/>
    <n v="-92.310690111492306"/>
    <n v="27.597487256490702"/>
    <n v="1056.9081062232101"/>
    <x v="3"/>
    <n v="7.4701897808615296"/>
    <n v="8.7871664027568599"/>
    <x v="9"/>
    <n v="50"/>
    <s v="voice"/>
    <s v="incoming"/>
    <x v="0"/>
    <s v="Normal"/>
  </r>
  <r>
    <d v="2022-06-10T15:13:25"/>
    <n v="-76.882703412308302"/>
    <n v="27.8049710568799"/>
    <n v="369.63824655503697"/>
    <x v="1"/>
    <n v="3.29339202567275"/>
    <n v="9.6730194797289499"/>
    <x v="4"/>
    <n v="30"/>
    <s v="data"/>
    <s v="outgoing"/>
    <x v="3"/>
    <s v="Normal"/>
  </r>
  <r>
    <d v="2022-06-11T23:39:35"/>
    <n v="-103.123227211551"/>
    <n v="17.331995772075601"/>
    <n v="47.519581177619898"/>
    <x v="0"/>
    <n v="9.0796203572454797"/>
    <n v="0.12076836622338"/>
    <x v="8"/>
    <n v="95"/>
    <s v="voice"/>
    <s v="outgoing"/>
    <x v="2"/>
    <s v="Normal"/>
  </r>
  <r>
    <d v="2022-06-12T10:05:10"/>
    <n v="-87.339285248335102"/>
    <n v="12.087157479524899"/>
    <n v="1738.3801276552599"/>
    <x v="2"/>
    <n v="3.7777096955651102"/>
    <n v="0.70387690373965595"/>
    <x v="6"/>
    <n v="83"/>
    <s v="voice"/>
    <s v="incoming"/>
    <x v="0"/>
    <s v="Normal"/>
  </r>
  <r>
    <d v="2022-06-13T20:13:30"/>
    <n v="-101.002100973339"/>
    <n v="27.7027637915991"/>
    <n v="1625.43691364442"/>
    <x v="3"/>
    <n v="3.2292901410254902"/>
    <n v="8.95091713243621"/>
    <x v="5"/>
    <n v="38"/>
    <s v="voice"/>
    <s v="outgoing"/>
    <x v="2"/>
    <s v="Normal"/>
  </r>
  <r>
    <d v="2022-06-14T11:36:16"/>
    <n v="-83.023047092998397"/>
    <n v="21.0000849881541"/>
    <n v="559.34094025489799"/>
    <x v="0"/>
    <n v="12.504612687102499"/>
    <n v="7.2683701429858498"/>
    <x v="7"/>
    <n v="43"/>
    <s v="data"/>
    <s v="outgoing"/>
    <x v="0"/>
    <s v="High Loss"/>
  </r>
  <r>
    <d v="2022-06-15T18:37:30"/>
    <n v="-95.488834352635607"/>
    <n v="22.873429407371901"/>
    <n v="1016.57085365952"/>
    <x v="1"/>
    <n v="5.94412110760166"/>
    <n v="4.8245013627497899"/>
    <x v="7"/>
    <n v="27"/>
    <s v="voice"/>
    <s v="incoming"/>
    <x v="2"/>
    <s v="Normal"/>
  </r>
  <r>
    <d v="2022-06-16T21:22:23"/>
    <n v="-102.93200424868201"/>
    <n v="27.513388731628599"/>
    <n v="231.77766610391399"/>
    <x v="3"/>
    <n v="5.7790579794427401"/>
    <n v="4.5428577630580298"/>
    <x v="0"/>
    <n v="77"/>
    <s v="data"/>
    <s v="incoming"/>
    <x v="2"/>
    <s v="Normal"/>
  </r>
  <r>
    <d v="2022-06-17T11:42:00"/>
    <n v="-82.718810470389997"/>
    <n v="10.296910753500301"/>
    <n v="1117.03185708203"/>
    <x v="3"/>
    <n v="6.25850265105489"/>
    <n v="4.3626137018368798"/>
    <x v="6"/>
    <n v="86"/>
    <s v="data"/>
    <s v="incoming"/>
    <x v="0"/>
    <s v="Normal"/>
  </r>
  <r>
    <d v="2022-06-18T14:24:05"/>
    <n v="-95.229278750821607"/>
    <n v="24.161193164748401"/>
    <n v="1424.9901732620301"/>
    <x v="1"/>
    <n v="5.9622289513906299"/>
    <n v="4.0499538571216904"/>
    <x v="4"/>
    <n v="76"/>
    <s v="voice"/>
    <s v="incoming"/>
    <x v="2"/>
    <s v="Normal"/>
  </r>
  <r>
    <d v="2022-06-19T17:46:39"/>
    <n v="-82.005765486568393"/>
    <n v="19.6496746381045"/>
    <n v="418.26739583608997"/>
    <x v="1"/>
    <n v="2.4586102180920002"/>
    <n v="7.0133278352199397"/>
    <x v="9"/>
    <n v="69"/>
    <s v="voice"/>
    <s v="incoming"/>
    <x v="0"/>
    <s v="Normal"/>
  </r>
  <r>
    <d v="2022-06-20T22:37:39"/>
    <n v="-107.457408949694"/>
    <n v="11.354301914763001"/>
    <n v="176.88002379684099"/>
    <x v="2"/>
    <n v="2.09867693903692"/>
    <n v="3.3264266851256701"/>
    <x v="6"/>
    <n v="2"/>
    <s v="data"/>
    <s v="incoming"/>
    <x v="2"/>
    <s v="Normal"/>
  </r>
  <r>
    <d v="2022-06-21T17:12:40"/>
    <n v="-92.632873289645303"/>
    <n v="17.642345246808802"/>
    <n v="1500.4580157712801"/>
    <x v="0"/>
    <n v="11.0457441196254"/>
    <n v="7.2402968879587002"/>
    <x v="6"/>
    <n v="86"/>
    <s v="voice"/>
    <s v="outgoing"/>
    <x v="0"/>
    <s v="High Loss"/>
  </r>
  <r>
    <d v="2022-06-22T20:40:07"/>
    <n v="-74.739268177801193"/>
    <n v="18.336322082989302"/>
    <n v="1585.6282343508999"/>
    <x v="1"/>
    <n v="9.9736121345200104"/>
    <n v="5.6927392138102197"/>
    <x v="1"/>
    <n v="46"/>
    <s v="voice"/>
    <s v="outgoing"/>
    <x v="3"/>
    <s v="Normal"/>
  </r>
  <r>
    <d v="2022-06-23T12:49:02"/>
    <n v="-92.731000050440599"/>
    <n v="13.793579816353301"/>
    <n v="172.88727527080201"/>
    <x v="3"/>
    <n v="7.0737488401926498"/>
    <n v="6.02246833373108"/>
    <x v="7"/>
    <n v="86"/>
    <s v="voice"/>
    <s v="outgoing"/>
    <x v="0"/>
    <s v="Normal"/>
  </r>
  <r>
    <d v="2022-06-24T15:13:21"/>
    <n v="-88.822496335120604"/>
    <n v="23.228831435687798"/>
    <n v="1633.92877379785"/>
    <x v="3"/>
    <n v="5.9975673121147004"/>
    <n v="8.9217050527090205"/>
    <x v="8"/>
    <n v="30"/>
    <s v="data"/>
    <s v="incoming"/>
    <x v="0"/>
    <s v="Normal"/>
  </r>
  <r>
    <d v="2022-06-25T20:45:05"/>
    <n v="-78.118605342706502"/>
    <n v="13.886960564801599"/>
    <n v="370.89305424204002"/>
    <x v="2"/>
    <n v="2.44615598856966"/>
    <n v="2.03706328114363"/>
    <x v="3"/>
    <n v="70"/>
    <s v="data"/>
    <s v="incoming"/>
    <x v="3"/>
    <s v="Normal"/>
  </r>
  <r>
    <d v="2022-06-26T14:31:38"/>
    <n v="-77.912610347042005"/>
    <n v="14.8059285517493"/>
    <n v="580.54954168056895"/>
    <x v="2"/>
    <n v="0.69265990006004896"/>
    <n v="6.2128828412684802"/>
    <x v="6"/>
    <n v="10"/>
    <s v="voice"/>
    <s v="incoming"/>
    <x v="3"/>
    <s v="Normal"/>
  </r>
  <r>
    <d v="2022-06-27T21:16:26"/>
    <n v="-100.321439310516"/>
    <n v="24.0913898225376"/>
    <n v="710.86256989628498"/>
    <x v="0"/>
    <n v="14.8537366839074"/>
    <n v="5.3365699968368396"/>
    <x v="4"/>
    <n v="2"/>
    <s v="data"/>
    <s v="incoming"/>
    <x v="2"/>
    <s v="High Loss"/>
  </r>
  <r>
    <d v="2022-06-28T11:57:05"/>
    <n v="-70.548224695194605"/>
    <n v="13.318533964109699"/>
    <n v="924.96331983087202"/>
    <x v="3"/>
    <n v="3.1938401127704799"/>
    <n v="1.41459413785082"/>
    <x v="5"/>
    <n v="4"/>
    <s v="data"/>
    <s v="incoming"/>
    <x v="3"/>
    <s v="Normal"/>
  </r>
  <r>
    <d v="2022-06-29T14:25:59"/>
    <n v="-90.775668570106902"/>
    <n v="11.8387033271191"/>
    <n v="1044.1144212187"/>
    <x v="3"/>
    <n v="2.74880560746809"/>
    <n v="9.3825840804987592"/>
    <x v="7"/>
    <n v="68"/>
    <s v="data"/>
    <s v="outgoing"/>
    <x v="0"/>
    <s v="Normal"/>
  </r>
  <r>
    <d v="2022-06-30T15:21:35"/>
    <n v="-69.550831238736293"/>
    <n v="17.9485866302565"/>
    <n v="1400.62963758604"/>
    <x v="2"/>
    <n v="1.8227660419865599"/>
    <n v="8.8121671784110998"/>
    <x v="4"/>
    <n v="70"/>
    <s v="data"/>
    <s v="outgoing"/>
    <x v="3"/>
    <s v="Normal"/>
  </r>
  <r>
    <d v="2022-07-01T10:39:19"/>
    <n v="-112.260333813944"/>
    <n v="18.391576856010499"/>
    <n v="58.148009626072501"/>
    <x v="2"/>
    <n v="2.3028573815494502"/>
    <n v="2.6943676563304901"/>
    <x v="7"/>
    <n v="73"/>
    <s v="voice"/>
    <s v="incoming"/>
    <x v="1"/>
    <s v="Normal"/>
  </r>
  <r>
    <d v="2022-07-02T11:32:22"/>
    <n v="-63.074022373888603"/>
    <n v="20.477238822348198"/>
    <n v="918.44668643992202"/>
    <x v="1"/>
    <n v="9.5289159383073301"/>
    <n v="0.59341547693570795"/>
    <x v="6"/>
    <n v="61"/>
    <s v="voice"/>
    <s v="incoming"/>
    <x v="3"/>
    <s v="Normal"/>
  </r>
  <r>
    <d v="2022-07-03T14:37:20"/>
    <n v="-87.506781819743296"/>
    <n v="20.836306160546201"/>
    <n v="1417.37212837672"/>
    <x v="0"/>
    <n v="6.4947012461701803"/>
    <n v="1.83834054393281"/>
    <x v="2"/>
    <n v="16"/>
    <s v="voice"/>
    <s v="incoming"/>
    <x v="0"/>
    <s v="Normal"/>
  </r>
  <r>
    <d v="2022-07-04T15:33:54"/>
    <n v="-79.164858756801806"/>
    <n v="25.838420511594201"/>
    <n v="920.13214846245501"/>
    <x v="0"/>
    <n v="8.6765166077716191"/>
    <n v="9.5926176464504191"/>
    <x v="8"/>
    <n v="39"/>
    <s v="voice"/>
    <s v="incoming"/>
    <x v="3"/>
    <s v="Normal"/>
  </r>
  <r>
    <d v="2022-07-05T18:17:59"/>
    <n v="-64.799653203306207"/>
    <n v="14.5746826459555"/>
    <n v="1081.4662713896901"/>
    <x v="1"/>
    <n v="8.7801092116453692"/>
    <n v="7.2731946976744597"/>
    <x v="5"/>
    <n v="44"/>
    <s v="data"/>
    <s v="outgoing"/>
    <x v="3"/>
    <s v="Normal"/>
  </r>
  <r>
    <d v="2022-07-06T13:05:45"/>
    <n v="-69.805327426150598"/>
    <n v="23.765780515774701"/>
    <n v="1716.69715194477"/>
    <x v="1"/>
    <n v="8.31966736796549"/>
    <n v="9.5165897814205902"/>
    <x v="0"/>
    <n v="45"/>
    <s v="data"/>
    <s v="outgoing"/>
    <x v="3"/>
    <s v="Normal"/>
  </r>
  <r>
    <d v="2022-07-07T15:37:22"/>
    <n v="-105.43347023941701"/>
    <n v="26.190326299513"/>
    <n v="1363.2092163314401"/>
    <x v="2"/>
    <n v="4.4955200100260502"/>
    <n v="8.0129483467619593"/>
    <x v="3"/>
    <n v="15"/>
    <s v="voice"/>
    <s v="outgoing"/>
    <x v="2"/>
    <s v="Normal"/>
  </r>
  <r>
    <d v="2022-07-08T22:23:10"/>
    <n v="-104.92385016902"/>
    <n v="14.283910467655"/>
    <n v="315.76866500715801"/>
    <x v="3"/>
    <n v="4.7241528267352102"/>
    <n v="5.9577131071371596"/>
    <x v="8"/>
    <n v="71"/>
    <s v="voice"/>
    <s v="outgoing"/>
    <x v="2"/>
    <s v="Normal"/>
  </r>
  <r>
    <d v="2022-07-09T14:19:42"/>
    <n v="-89.974072638242006"/>
    <n v="14.331735051120299"/>
    <n v="77.854180391601901"/>
    <x v="0"/>
    <n v="14.2187855439728"/>
    <n v="1.02031285949688"/>
    <x v="1"/>
    <n v="66"/>
    <s v="voice"/>
    <s v="incoming"/>
    <x v="0"/>
    <s v="High Loss"/>
  </r>
  <r>
    <d v="2022-07-10T13:53:07"/>
    <n v="-80.837131863153203"/>
    <n v="20.749828494266801"/>
    <n v="933.33336209782999"/>
    <x v="0"/>
    <n v="12.060405323898999"/>
    <n v="1.2446717640549501"/>
    <x v="1"/>
    <n v="99"/>
    <s v="voice"/>
    <s v="outgoing"/>
    <x v="0"/>
    <s v="High Loss"/>
  </r>
  <r>
    <d v="2022-07-11T14:23:02"/>
    <n v="-76.560880665120393"/>
    <n v="25.320592922177401"/>
    <n v="1007.63300537895"/>
    <x v="2"/>
    <n v="3.1213007070905601"/>
    <n v="0.62584034859621496"/>
    <x v="6"/>
    <n v="99"/>
    <s v="data"/>
    <s v="incoming"/>
    <x v="3"/>
    <s v="Normal"/>
  </r>
  <r>
    <d v="2022-07-12T09:37:06"/>
    <n v="-82.639175278213301"/>
    <n v="11.2099218568935"/>
    <n v="1770.08627435274"/>
    <x v="3"/>
    <n v="5.2546565279592601"/>
    <n v="9.9292799690958997"/>
    <x v="6"/>
    <n v="6"/>
    <s v="voice"/>
    <s v="outgoing"/>
    <x v="0"/>
    <s v="Normal"/>
  </r>
  <r>
    <d v="2022-07-13T18:29:52"/>
    <n v="-111.403356631093"/>
    <n v="15.5327169357604"/>
    <n v="773.12280674696501"/>
    <x v="2"/>
    <n v="0.41627628977590297"/>
    <n v="1.39522620114308"/>
    <x v="1"/>
    <n v="48"/>
    <s v="data"/>
    <s v="incoming"/>
    <x v="1"/>
    <s v="Normal"/>
  </r>
  <r>
    <d v="2022-07-14T21:45:56"/>
    <n v="-82.557757848804897"/>
    <n v="27.993419344627799"/>
    <n v="1459.11271159335"/>
    <x v="3"/>
    <n v="2.3108705703408199"/>
    <n v="8.1812344726311803"/>
    <x v="1"/>
    <n v="31"/>
    <s v="data"/>
    <s v="incoming"/>
    <x v="0"/>
    <s v="Normal"/>
  </r>
  <r>
    <d v="2022-07-15T11:50:29"/>
    <n v="-66.434748057717201"/>
    <n v="14.695634955623699"/>
    <n v="809.42997174507195"/>
    <x v="2"/>
    <n v="3.38474972821649"/>
    <n v="9.6548073349482095"/>
    <x v="6"/>
    <n v="84"/>
    <s v="voice"/>
    <s v="outgoing"/>
    <x v="3"/>
    <s v="Normal"/>
  </r>
  <r>
    <d v="2022-07-16T09:14:46"/>
    <n v="-86.538597212945305"/>
    <n v="19.296492673167499"/>
    <n v="1632.26557605529"/>
    <x v="1"/>
    <n v="1.3047285644589099"/>
    <n v="7.0428316748669104"/>
    <x v="2"/>
    <n v="27"/>
    <s v="voice"/>
    <s v="incoming"/>
    <x v="0"/>
    <s v="Normal"/>
  </r>
  <r>
    <d v="2022-07-17T16:06:36"/>
    <n v="-75.012419582384695"/>
    <n v="29.405679131964"/>
    <n v="1767.72473390086"/>
    <x v="1"/>
    <n v="0.55047564977082597"/>
    <n v="1.73926098305349"/>
    <x v="4"/>
    <n v="20"/>
    <s v="voice"/>
    <s v="incoming"/>
    <x v="3"/>
    <s v="Normal"/>
  </r>
  <r>
    <d v="2022-07-18T15:59:58"/>
    <n v="-75.372280507966295"/>
    <n v="21.330518521357799"/>
    <n v="372.16219131156703"/>
    <x v="0"/>
    <n v="7.9413248983968998"/>
    <n v="2.1419956107314801"/>
    <x v="0"/>
    <n v="73"/>
    <s v="data"/>
    <s v="incoming"/>
    <x v="3"/>
    <s v="Normal"/>
  </r>
  <r>
    <d v="2022-07-19T13:38:21"/>
    <n v="-66.305050152607393"/>
    <n v="11.4022888925338"/>
    <n v="1460.3595734984499"/>
    <x v="2"/>
    <n v="4.5425515586298602"/>
    <n v="4.2406181522305104"/>
    <x v="5"/>
    <n v="37"/>
    <s v="data"/>
    <s v="outgoing"/>
    <x v="3"/>
    <s v="Normal"/>
  </r>
  <r>
    <d v="2022-07-20T09:18:04"/>
    <n v="-116.249235499579"/>
    <n v="10.5117120634547"/>
    <n v="629.85417082815502"/>
    <x v="2"/>
    <n v="3.3110470394872502"/>
    <n v="1.4758488232564699"/>
    <x v="9"/>
    <n v="22"/>
    <s v="voice"/>
    <s v="incoming"/>
    <x v="1"/>
    <s v="Normal"/>
  </r>
  <r>
    <d v="2022-07-21T12:13:15"/>
    <n v="-95.806416896371204"/>
    <n v="17.819603364178501"/>
    <n v="1557.3615617431699"/>
    <x v="3"/>
    <n v="5.6888414857693901"/>
    <n v="2.5264756589258699"/>
    <x v="9"/>
    <n v="99"/>
    <s v="voice"/>
    <s v="outgoing"/>
    <x v="2"/>
    <s v="Normal"/>
  </r>
  <r>
    <d v="2022-07-22T12:06:00"/>
    <n v="-76.483170329676298"/>
    <n v="17.211186291999901"/>
    <n v="598.69585111426102"/>
    <x v="2"/>
    <n v="2.4788492054870099"/>
    <n v="1.57684473096502"/>
    <x v="1"/>
    <n v="84"/>
    <s v="voice"/>
    <s v="incoming"/>
    <x v="3"/>
    <s v="Normal"/>
  </r>
  <r>
    <d v="2022-07-23T18:42:57"/>
    <n v="-72.146487064440905"/>
    <n v="12.0829712668057"/>
    <n v="1144.8317832170001"/>
    <x v="1"/>
    <n v="5.6964429993896903"/>
    <n v="5.2050830294127204"/>
    <x v="0"/>
    <n v="61"/>
    <s v="voice"/>
    <s v="incoming"/>
    <x v="3"/>
    <s v="Normal"/>
  </r>
  <r>
    <d v="2022-07-24T20:40:08"/>
    <n v="-92.905114305360598"/>
    <n v="22.7658609696554"/>
    <n v="1344.1108596004001"/>
    <x v="3"/>
    <n v="5.3867180713673699"/>
    <n v="9.1864774166984304"/>
    <x v="7"/>
    <n v="36"/>
    <s v="voice"/>
    <s v="incoming"/>
    <x v="0"/>
    <s v="Normal"/>
  </r>
  <r>
    <d v="2022-07-25T23:05:16"/>
    <n v="-87.866356420067206"/>
    <n v="11.062893722543601"/>
    <n v="649.81334582549596"/>
    <x v="2"/>
    <n v="4.74423342373463"/>
    <n v="8.1594000088963803"/>
    <x v="1"/>
    <n v="21"/>
    <s v="data"/>
    <s v="incoming"/>
    <x v="0"/>
    <s v="Normal"/>
  </r>
  <r>
    <d v="2022-07-26T13:39:00"/>
    <n v="-101.079216957005"/>
    <n v="17.883410917465099"/>
    <n v="1581.4861594685999"/>
    <x v="0"/>
    <n v="10.506394699223501"/>
    <n v="2.6200857637769102"/>
    <x v="2"/>
    <n v="95"/>
    <s v="data"/>
    <s v="incoming"/>
    <x v="2"/>
    <s v="High Loss"/>
  </r>
  <r>
    <d v="2022-07-27T12:28:55"/>
    <n v="-78.478979381746598"/>
    <n v="13.290931204868199"/>
    <n v="759.09233393520299"/>
    <x v="3"/>
    <n v="3.9740160408980798"/>
    <n v="8.1269297278057504"/>
    <x v="9"/>
    <n v="58"/>
    <s v="data"/>
    <s v="incoming"/>
    <x v="3"/>
    <s v="Normal"/>
  </r>
  <r>
    <d v="2022-07-28T09:37:19"/>
    <n v="-84.403315049524707"/>
    <n v="21.383865899530701"/>
    <n v="249.82714987017701"/>
    <x v="1"/>
    <n v="3.35499996469018"/>
    <n v="5.2924165301640302"/>
    <x v="0"/>
    <n v="85"/>
    <s v="data"/>
    <s v="outgoing"/>
    <x v="0"/>
    <s v="Normal"/>
  </r>
  <r>
    <d v="2022-07-29T12:33:38"/>
    <n v="-104.15737012556001"/>
    <n v="21.399740608236598"/>
    <n v="1566.8237046629099"/>
    <x v="0"/>
    <n v="10.2411564169833"/>
    <n v="3.50914628395059"/>
    <x v="2"/>
    <n v="59"/>
    <s v="data"/>
    <s v="outgoing"/>
    <x v="2"/>
    <s v="High Loss"/>
  </r>
  <r>
    <d v="2022-07-30T09:26:41"/>
    <n v="-85.558642125439704"/>
    <n v="14.3693117171444"/>
    <n v="818.978774059937"/>
    <x v="1"/>
    <n v="6.9552636406403296"/>
    <n v="4.8224319280374504"/>
    <x v="9"/>
    <n v="17"/>
    <s v="data"/>
    <s v="incoming"/>
    <x v="0"/>
    <s v="Normal"/>
  </r>
  <r>
    <d v="2022-07-31T22:25:44"/>
    <n v="-106.537452824574"/>
    <n v="23.8830343428295"/>
    <n v="1387.19022641826"/>
    <x v="0"/>
    <n v="5.5083532862890703"/>
    <n v="0.83008569963679002"/>
    <x v="7"/>
    <n v="36"/>
    <s v="voice"/>
    <s v="outgoing"/>
    <x v="2"/>
    <s v="Normal"/>
  </r>
  <r>
    <d v="2022-08-01T19:01:27"/>
    <n v="-95.929371607417906"/>
    <n v="13.2719391775221"/>
    <n v="233.00799198094001"/>
    <x v="0"/>
    <n v="5.7521459195018503"/>
    <n v="6.4376669859190603"/>
    <x v="5"/>
    <n v="26"/>
    <s v="data"/>
    <s v="outgoing"/>
    <x v="2"/>
    <s v="Normal"/>
  </r>
  <r>
    <d v="2022-08-02T15:44:14"/>
    <n v="-79.2499671460684"/>
    <n v="14.5847000580948"/>
    <n v="1101.8165322477701"/>
    <x v="3"/>
    <n v="4.2681735298821604"/>
    <n v="8.2147686228596193"/>
    <x v="1"/>
    <n v="49"/>
    <s v="voice"/>
    <s v="outgoing"/>
    <x v="3"/>
    <s v="Normal"/>
  </r>
  <r>
    <d v="2022-08-03T18:29:17"/>
    <n v="-81.725287550242697"/>
    <n v="25.558093064422099"/>
    <n v="115.745465932028"/>
    <x v="2"/>
    <n v="1.58333913249431"/>
    <n v="6.24128476953367"/>
    <x v="2"/>
    <n v="83"/>
    <s v="voice"/>
    <s v="outgoing"/>
    <x v="0"/>
    <s v="Normal"/>
  </r>
  <r>
    <d v="2022-08-04T21:33:39"/>
    <n v="-68.583586426977305"/>
    <n v="26.7564928736676"/>
    <n v="1757.57693004211"/>
    <x v="1"/>
    <n v="8.1276879386442396"/>
    <n v="1.69813879618899"/>
    <x v="3"/>
    <n v="86"/>
    <s v="voice"/>
    <s v="incoming"/>
    <x v="3"/>
    <s v="Normal"/>
  </r>
  <r>
    <d v="2022-08-05T21:45:18"/>
    <n v="-74.012779871954393"/>
    <n v="26.563252579845599"/>
    <n v="1258.8522419016399"/>
    <x v="1"/>
    <n v="4.6261709981492496"/>
    <n v="3.3311062084065002"/>
    <x v="8"/>
    <n v="2"/>
    <s v="voice"/>
    <s v="outgoing"/>
    <x v="3"/>
    <s v="Normal"/>
  </r>
  <r>
    <d v="2022-08-06T14:09:45"/>
    <n v="-79.023859905930095"/>
    <n v="19.394780916088401"/>
    <n v="1208.5072211076199"/>
    <x v="1"/>
    <n v="7.9288509017195299"/>
    <n v="2.9158901789701002"/>
    <x v="0"/>
    <n v="13"/>
    <s v="voice"/>
    <s v="outgoing"/>
    <x v="3"/>
    <s v="Normal"/>
  </r>
  <r>
    <d v="2022-08-07T19:30:39"/>
    <n v="-107.311311235402"/>
    <n v="11.4834573647216"/>
    <n v="303.11097296520097"/>
    <x v="0"/>
    <n v="8.4895978309386706"/>
    <n v="9.4576636915569807"/>
    <x v="2"/>
    <n v="2"/>
    <s v="voice"/>
    <s v="outgoing"/>
    <x v="2"/>
    <s v="Normal"/>
  </r>
  <r>
    <d v="2022-08-08T18:54:33"/>
    <n v="-90.562219600207001"/>
    <n v="17.968543962834399"/>
    <n v="53.938743116276903"/>
    <x v="0"/>
    <n v="6.9699774905019103"/>
    <n v="6.8149733017234002"/>
    <x v="2"/>
    <n v="26"/>
    <s v="data"/>
    <s v="outgoing"/>
    <x v="0"/>
    <s v="Normal"/>
  </r>
  <r>
    <d v="2022-08-09T09:29:14"/>
    <n v="-64.009828111672903"/>
    <n v="19.922964894685201"/>
    <n v="1025.1185192302401"/>
    <x v="2"/>
    <n v="2.5910868711122301"/>
    <n v="7.7633354221444204"/>
    <x v="7"/>
    <n v="52"/>
    <s v="data"/>
    <s v="incoming"/>
    <x v="3"/>
    <s v="Normal"/>
  </r>
  <r>
    <d v="2022-08-10T20:46:28"/>
    <n v="-80.995828086688206"/>
    <n v="16.256306705363698"/>
    <n v="55.893835315479599"/>
    <x v="1"/>
    <n v="1.7964577223074101"/>
    <n v="7.4544450102916704"/>
    <x v="8"/>
    <n v="95"/>
    <s v="voice"/>
    <s v="outgoing"/>
    <x v="0"/>
    <s v="Normal"/>
  </r>
  <r>
    <d v="2022-08-11T23:23:13"/>
    <n v="-81.568324513197794"/>
    <n v="12.0639372489415"/>
    <n v="569.94237120957496"/>
    <x v="3"/>
    <n v="5.2893430911758497"/>
    <n v="3.7657165715824901"/>
    <x v="5"/>
    <n v="58"/>
    <s v="data"/>
    <s v="incoming"/>
    <x v="0"/>
    <s v="Normal"/>
  </r>
  <r>
    <d v="2022-08-12T12:27:26"/>
    <n v="-93.751824622784596"/>
    <n v="14.674092983208199"/>
    <n v="25.851171562504799"/>
    <x v="2"/>
    <n v="1.6072146392136399"/>
    <n v="0.53486485114578497"/>
    <x v="0"/>
    <n v="38"/>
    <s v="voice"/>
    <s v="incoming"/>
    <x v="0"/>
    <s v="Normal"/>
  </r>
  <r>
    <d v="2022-08-13T14:43:21"/>
    <n v="-90.745060558256398"/>
    <n v="23.777474532520301"/>
    <n v="1090.8530328157599"/>
    <x v="2"/>
    <n v="0.35276301322711701"/>
    <n v="6.0162106035345397"/>
    <x v="0"/>
    <n v="80"/>
    <s v="voice"/>
    <s v="incoming"/>
    <x v="0"/>
    <s v="Normal"/>
  </r>
  <r>
    <d v="2022-08-14T15:35:29"/>
    <n v="-80.817551768260699"/>
    <n v="16.847726196972399"/>
    <n v="1411.1299803313"/>
    <x v="0"/>
    <n v="6.0427706902216096"/>
    <n v="3.1495681295488298"/>
    <x v="3"/>
    <n v="34"/>
    <s v="voice"/>
    <s v="outgoing"/>
    <x v="0"/>
    <s v="Normal"/>
  </r>
  <r>
    <d v="2022-08-15T18:26:05"/>
    <n v="-58.696050469137496"/>
    <n v="18.504645875761501"/>
    <n v="418.73120980889098"/>
    <x v="2"/>
    <n v="2.70007544215103"/>
    <n v="8.9107879705197401"/>
    <x v="9"/>
    <n v="89"/>
    <s v="data"/>
    <s v="outgoing"/>
    <x v="3"/>
    <s v="Normal"/>
  </r>
  <r>
    <d v="2022-08-16T15:47:14"/>
    <n v="-82.060041213528393"/>
    <n v="15.358977760609701"/>
    <n v="334.56328289003397"/>
    <x v="2"/>
    <n v="0.99201761872994298"/>
    <n v="0.24229196550510501"/>
    <x v="2"/>
    <n v="50"/>
    <s v="voice"/>
    <s v="outgoing"/>
    <x v="0"/>
    <s v="Normal"/>
  </r>
  <r>
    <d v="2022-08-17T20:33:13"/>
    <n v="-73.964969836322794"/>
    <n v="17.581157666354599"/>
    <n v="11.520903607716701"/>
    <x v="2"/>
    <n v="0.362559994759866"/>
    <n v="6.7261744759025097"/>
    <x v="1"/>
    <n v="34"/>
    <s v="voice"/>
    <s v="outgoing"/>
    <x v="3"/>
    <s v="Normal"/>
  </r>
  <r>
    <d v="2022-08-18T11:57:48"/>
    <n v="-85.564230076920495"/>
    <n v="15.4331632806584"/>
    <n v="1129.14503067494"/>
    <x v="0"/>
    <n v="6.0488444507407202"/>
    <n v="6.4759879184928399"/>
    <x v="4"/>
    <n v="38"/>
    <s v="data"/>
    <s v="outgoing"/>
    <x v="0"/>
    <s v="Normal"/>
  </r>
  <r>
    <d v="2022-08-19T12:10:13"/>
    <n v="-60.439364006101798"/>
    <n v="12.1027751447618"/>
    <n v="1272.9378664389801"/>
    <x v="1"/>
    <n v="6.71700097740466"/>
    <n v="9.6014189139814601"/>
    <x v="1"/>
    <n v="80"/>
    <s v="data"/>
    <s v="incoming"/>
    <x v="3"/>
    <s v="Normal"/>
  </r>
  <r>
    <d v="2022-08-20T13:49:27"/>
    <n v="-65.049830174799894"/>
    <n v="27.476888151041798"/>
    <n v="1592.3295626009501"/>
    <x v="3"/>
    <n v="6.1764134679242799"/>
    <n v="5.60820497153298"/>
    <x v="5"/>
    <n v="61"/>
    <s v="data"/>
    <s v="incoming"/>
    <x v="3"/>
    <s v="Normal"/>
  </r>
  <r>
    <d v="2022-08-21T19:26:03"/>
    <n v="-70.8260714813091"/>
    <n v="15.8181749512925"/>
    <n v="384.96782815083702"/>
    <x v="3"/>
    <n v="4.33629741326315"/>
    <n v="8.0201443318938104"/>
    <x v="9"/>
    <n v="70"/>
    <s v="data"/>
    <s v="incoming"/>
    <x v="3"/>
    <s v="Normal"/>
  </r>
  <r>
    <d v="2022-08-22T12:05:55"/>
    <n v="-84.217632881998895"/>
    <n v="21.249552167155201"/>
    <n v="889.09866430181796"/>
    <x v="1"/>
    <n v="5.0771689506086801"/>
    <n v="5.2074395143618597"/>
    <x v="8"/>
    <n v="70"/>
    <s v="data"/>
    <s v="outgoing"/>
    <x v="0"/>
    <s v="Normal"/>
  </r>
  <r>
    <d v="2022-08-23T21:21:42"/>
    <n v="-81.844370912972295"/>
    <n v="13.867640646742201"/>
    <n v="188.02565515284601"/>
    <x v="1"/>
    <n v="1.9501751534728999"/>
    <n v="8.6081124610691901"/>
    <x v="0"/>
    <n v="35"/>
    <s v="voice"/>
    <s v="outgoing"/>
    <x v="0"/>
    <s v="Normal"/>
  </r>
  <r>
    <d v="2022-08-24T18:17:03"/>
    <n v="-101.980452531976"/>
    <n v="19.003484099528698"/>
    <n v="265.11333868168799"/>
    <x v="0"/>
    <n v="9.9308660651887894"/>
    <n v="4.6556197059191904"/>
    <x v="7"/>
    <n v="19"/>
    <s v="data"/>
    <s v="incoming"/>
    <x v="2"/>
    <s v="Normal"/>
  </r>
  <r>
    <d v="2022-08-25T10:26:15"/>
    <n v="-113.173551608556"/>
    <n v="24.705311177175201"/>
    <n v="1479.9147363438301"/>
    <x v="2"/>
    <n v="0.34099671397496401"/>
    <n v="8.0393066205984596"/>
    <x v="7"/>
    <n v="73"/>
    <s v="data"/>
    <s v="outgoing"/>
    <x v="1"/>
    <s v="Normal"/>
  </r>
  <r>
    <d v="2022-08-26T20:09:47"/>
    <n v="-53.454848025856698"/>
    <n v="23.423248617063098"/>
    <n v="1151.8213536424601"/>
    <x v="2"/>
    <n v="2.1673795070297901"/>
    <n v="9.0306131256803894"/>
    <x v="1"/>
    <n v="24"/>
    <s v="data"/>
    <s v="incoming"/>
    <x v="3"/>
    <s v="Normal"/>
  </r>
  <r>
    <d v="2022-08-27T23:32:16"/>
    <n v="-96.921167539882802"/>
    <n v="18.304822815899598"/>
    <n v="447.38782345465802"/>
    <x v="3"/>
    <n v="6.7419781011504902"/>
    <n v="3.9000735899332599"/>
    <x v="8"/>
    <n v="55"/>
    <s v="data"/>
    <s v="outgoing"/>
    <x v="2"/>
    <s v="Normal"/>
  </r>
  <r>
    <d v="2022-08-28T14:14:34"/>
    <n v="-75.031892855566596"/>
    <n v="24.744161107061899"/>
    <n v="1615.49091264307"/>
    <x v="2"/>
    <n v="1.90649756115319"/>
    <n v="1.0157239148608801"/>
    <x v="1"/>
    <n v="51"/>
    <s v="voice"/>
    <s v="outgoing"/>
    <x v="3"/>
    <s v="Normal"/>
  </r>
  <r>
    <d v="2022-08-29T13:23:45"/>
    <n v="-51.967553937419702"/>
    <n v="16.9151725883175"/>
    <n v="1013.2835149653"/>
    <x v="2"/>
    <n v="2.6064236871988999"/>
    <n v="6.9735272844960896"/>
    <x v="1"/>
    <n v="6"/>
    <s v="data"/>
    <s v="incoming"/>
    <x v="3"/>
    <s v="Normal"/>
  </r>
  <r>
    <d v="2022-08-30T14:26:21"/>
    <n v="-91.845743915622194"/>
    <n v="20.5406432903739"/>
    <n v="115.85791888400399"/>
    <x v="2"/>
    <n v="2.8107474355699398"/>
    <n v="2.3728580354383602"/>
    <x v="5"/>
    <n v="6"/>
    <s v="data"/>
    <s v="outgoing"/>
    <x v="0"/>
    <s v="Normal"/>
  </r>
  <r>
    <d v="2022-08-31T10:32:21"/>
    <n v="-98.229945720190798"/>
    <n v="14.0839173019446"/>
    <n v="484.05119972175498"/>
    <x v="2"/>
    <n v="3.8351790228661899"/>
    <n v="2.4663347477392401"/>
    <x v="4"/>
    <n v="65"/>
    <s v="data"/>
    <s v="outgoing"/>
    <x v="2"/>
    <s v="Normal"/>
  </r>
  <r>
    <d v="2022-09-01T12:27:32"/>
    <n v="-97.376020431881599"/>
    <n v="18.3115956918774"/>
    <n v="1398.5302949100001"/>
    <x v="0"/>
    <n v="5.1447415240683902"/>
    <n v="2.0142194777130902"/>
    <x v="5"/>
    <n v="78"/>
    <s v="data"/>
    <s v="incoming"/>
    <x v="2"/>
    <s v="Normal"/>
  </r>
  <r>
    <d v="2022-09-02T12:31:41"/>
    <n v="-86.453657492678403"/>
    <n v="10.494990427175701"/>
    <n v="695.35964669111502"/>
    <x v="0"/>
    <n v="13.3285434094607"/>
    <n v="9.6142384974631803"/>
    <x v="0"/>
    <n v="53"/>
    <s v="voice"/>
    <s v="incoming"/>
    <x v="0"/>
    <s v="High Loss"/>
  </r>
  <r>
    <d v="2022-09-03T10:07:08"/>
    <n v="-85.136104742128396"/>
    <n v="13.4135777968902"/>
    <n v="978.84987698774603"/>
    <x v="0"/>
    <n v="5.5730764271497604"/>
    <n v="7.9325753138156898"/>
    <x v="0"/>
    <n v="53"/>
    <s v="data"/>
    <s v="incoming"/>
    <x v="0"/>
    <s v="Normal"/>
  </r>
  <r>
    <d v="2022-09-04T18:39:07"/>
    <n v="-98.397535633766097"/>
    <n v="28.510916234862499"/>
    <n v="433.25220185486597"/>
    <x v="3"/>
    <n v="2.8802211590689999"/>
    <n v="3.46409177521112"/>
    <x v="9"/>
    <n v="63"/>
    <s v="data"/>
    <s v="incoming"/>
    <x v="2"/>
    <s v="Normal"/>
  </r>
  <r>
    <d v="2022-09-05T23:30:01"/>
    <n v="-73.199709644521803"/>
    <n v="28.567207003859401"/>
    <n v="56.067844896201201"/>
    <x v="1"/>
    <n v="1.16781399904817"/>
    <n v="4.04917128836553"/>
    <x v="9"/>
    <n v="77"/>
    <s v="data"/>
    <s v="incoming"/>
    <x v="3"/>
    <s v="Normal"/>
  </r>
  <r>
    <d v="2022-09-06T19:30:41"/>
    <n v="-94.156252628956096"/>
    <n v="16.717302463385799"/>
    <n v="1018.50937545183"/>
    <x v="3"/>
    <n v="6.2224821976401303"/>
    <n v="8.6883325052074607"/>
    <x v="8"/>
    <n v="13"/>
    <s v="voice"/>
    <s v="incoming"/>
    <x v="0"/>
    <s v="Normal"/>
  </r>
  <r>
    <d v="2022-09-07T22:30:01"/>
    <n v="-75.528280528885105"/>
    <n v="16.0915286195658"/>
    <n v="1692.6467982403699"/>
    <x v="0"/>
    <n v="7.83490097507228"/>
    <n v="5.4530677031772496"/>
    <x v="3"/>
    <n v="55"/>
    <s v="data"/>
    <s v="incoming"/>
    <x v="3"/>
    <s v="Normal"/>
  </r>
  <r>
    <d v="2022-09-08T19:12:06"/>
    <n v="-92.043712730421703"/>
    <n v="21.852944608460302"/>
    <n v="1063.97695648233"/>
    <x v="3"/>
    <n v="4.34842836428603"/>
    <n v="2.82886818163654"/>
    <x v="8"/>
    <n v="78"/>
    <s v="data"/>
    <s v="outgoing"/>
    <x v="0"/>
    <s v="Normal"/>
  </r>
  <r>
    <d v="2022-09-09T21:45:44"/>
    <n v="-71.310143551426407"/>
    <n v="28.617063793668599"/>
    <n v="1266.2516119115701"/>
    <x v="3"/>
    <n v="3.5704522578940101"/>
    <n v="2.7095037877009598"/>
    <x v="5"/>
    <n v="96"/>
    <s v="voice"/>
    <s v="incoming"/>
    <x v="3"/>
    <s v="Normal"/>
  </r>
  <r>
    <d v="2022-09-10T21:26:35"/>
    <n v="-72.896837516281707"/>
    <n v="12.0321542263944"/>
    <n v="940.52224390657602"/>
    <x v="2"/>
    <n v="1.4570876342052099"/>
    <n v="5.8625143519134904"/>
    <x v="0"/>
    <n v="81"/>
    <s v="data"/>
    <s v="incoming"/>
    <x v="3"/>
    <s v="Normal"/>
  </r>
  <r>
    <d v="2022-09-11T18:50:42"/>
    <n v="-76.5589303709191"/>
    <n v="29.634486279510899"/>
    <n v="968.74998645802305"/>
    <x v="2"/>
    <n v="2.3770306471390699"/>
    <n v="4.4107535665648196"/>
    <x v="2"/>
    <n v="28"/>
    <s v="voice"/>
    <s v="outgoing"/>
    <x v="3"/>
    <s v="Normal"/>
  </r>
  <r>
    <d v="2022-09-12T09:51:09"/>
    <n v="-93.576836956074203"/>
    <n v="17.149120549447801"/>
    <n v="931.05792122933894"/>
    <x v="3"/>
    <n v="3.1683801920778198"/>
    <n v="1.61295062771144"/>
    <x v="4"/>
    <n v="40"/>
    <s v="data"/>
    <s v="incoming"/>
    <x v="0"/>
    <s v="Normal"/>
  </r>
  <r>
    <d v="2022-09-13T23:32:38"/>
    <n v="-76.227942753385193"/>
    <n v="12.518256488394201"/>
    <n v="1415.0100124471001"/>
    <x v="2"/>
    <n v="2.0892660578493798"/>
    <n v="0.41052416076548898"/>
    <x v="7"/>
    <n v="70"/>
    <s v="data"/>
    <s v="incoming"/>
    <x v="3"/>
    <s v="Normal"/>
  </r>
  <r>
    <d v="2022-09-14T18:07:17"/>
    <n v="-74.226289699833799"/>
    <n v="23.322659573126199"/>
    <n v="1731.7737531155601"/>
    <x v="1"/>
    <n v="3.3432161440894901"/>
    <n v="9.7691366069418297"/>
    <x v="3"/>
    <n v="16"/>
    <s v="voice"/>
    <s v="outgoing"/>
    <x v="3"/>
    <s v="Normal"/>
  </r>
  <r>
    <d v="2022-09-15T22:32:33"/>
    <n v="-73.870507343724697"/>
    <n v="16.8554648845621"/>
    <n v="903.93005481489297"/>
    <x v="0"/>
    <n v="5.5162173008536097"/>
    <n v="2.47112291648319"/>
    <x v="4"/>
    <n v="82"/>
    <s v="data"/>
    <s v="outgoing"/>
    <x v="3"/>
    <s v="Normal"/>
  </r>
  <r>
    <d v="2022-09-16T21:26:36"/>
    <n v="-92.561853691772598"/>
    <n v="24.288313269346698"/>
    <n v="1104.9500699079199"/>
    <x v="0"/>
    <n v="14.850276779704499"/>
    <n v="2.69325561071263"/>
    <x v="4"/>
    <n v="83"/>
    <s v="data"/>
    <s v="incoming"/>
    <x v="0"/>
    <s v="High Loss"/>
  </r>
  <r>
    <d v="2022-09-17T13:28:54"/>
    <n v="-68.623076263170802"/>
    <n v="26.067287635446799"/>
    <n v="231.53529268828899"/>
    <x v="2"/>
    <n v="1.3453079960418"/>
    <n v="2.5840515765677199"/>
    <x v="3"/>
    <n v="57"/>
    <s v="data"/>
    <s v="outgoing"/>
    <x v="3"/>
    <s v="Normal"/>
  </r>
  <r>
    <d v="2022-09-18T14:20:17"/>
    <n v="-88.641244667711604"/>
    <n v="27.921755147472702"/>
    <n v="1207.2370503490799"/>
    <x v="0"/>
    <n v="5.3808807304588004"/>
    <n v="9.0015047570973898"/>
    <x v="5"/>
    <n v="58"/>
    <s v="voice"/>
    <s v="incoming"/>
    <x v="0"/>
    <s v="Normal"/>
  </r>
  <r>
    <d v="2022-09-19T23:26:33"/>
    <n v="-60.507473201641503"/>
    <n v="10.7699813669382"/>
    <n v="61.721845499401297"/>
    <x v="1"/>
    <n v="0.76645533663083498"/>
    <n v="5.2013272883687103"/>
    <x v="4"/>
    <n v="3"/>
    <s v="voice"/>
    <s v="outgoing"/>
    <x v="3"/>
    <s v="Normal"/>
  </r>
  <r>
    <d v="2022-09-20T21:21:21"/>
    <n v="-78.260905703126895"/>
    <n v="19.117961627464101"/>
    <n v="1450.7809747251399"/>
    <x v="0"/>
    <n v="11.3333402968186"/>
    <n v="3.62523198643723"/>
    <x v="9"/>
    <n v="70"/>
    <s v="voice"/>
    <s v="outgoing"/>
    <x v="3"/>
    <s v="High Loss"/>
  </r>
  <r>
    <d v="2022-09-21T15:30:57"/>
    <n v="-93.534548761886597"/>
    <n v="18.289058917581102"/>
    <n v="383.69425004872301"/>
    <x v="1"/>
    <n v="3.7919389432727701"/>
    <n v="7.3171346842550502"/>
    <x v="2"/>
    <n v="16"/>
    <s v="voice"/>
    <s v="incoming"/>
    <x v="0"/>
    <s v="Normal"/>
  </r>
  <r>
    <d v="2022-09-22T12:39:19"/>
    <n v="-80.904505162156397"/>
    <n v="14.1259773421414"/>
    <n v="1506.49695154152"/>
    <x v="0"/>
    <n v="13.547747071069599"/>
    <n v="6.8904006016608701"/>
    <x v="1"/>
    <n v="8"/>
    <s v="data"/>
    <s v="incoming"/>
    <x v="0"/>
    <s v="High Loss"/>
  </r>
  <r>
    <d v="2022-09-23T11:42:25"/>
    <n v="-81.9440655783295"/>
    <n v="23.874998734285501"/>
    <n v="939.62796023033695"/>
    <x v="3"/>
    <n v="5.6239443645395299"/>
    <n v="3.7577354593518502"/>
    <x v="9"/>
    <n v="62"/>
    <s v="voice"/>
    <s v="incoming"/>
    <x v="0"/>
    <s v="Normal"/>
  </r>
  <r>
    <d v="2022-09-24T09:57:39"/>
    <n v="-87.303431000182201"/>
    <n v="27.1572451423907"/>
    <n v="236.28436445969501"/>
    <x v="1"/>
    <n v="5.7671028632876897"/>
    <n v="4.8723247585370801"/>
    <x v="8"/>
    <n v="69"/>
    <s v="data"/>
    <s v="outgoing"/>
    <x v="0"/>
    <s v="Normal"/>
  </r>
  <r>
    <d v="2022-09-25T16:54:44"/>
    <n v="-80.456261405207101"/>
    <n v="24.5700603306868"/>
    <n v="664.52862579381895"/>
    <x v="2"/>
    <n v="1.46648402785916"/>
    <n v="2.6854984978306899"/>
    <x v="7"/>
    <n v="71"/>
    <s v="data"/>
    <s v="incoming"/>
    <x v="0"/>
    <s v="Normal"/>
  </r>
  <r>
    <d v="2022-09-26T20:39:43"/>
    <n v="-93.551337540505003"/>
    <n v="26.216894104673301"/>
    <n v="1707.27657965307"/>
    <x v="1"/>
    <n v="6.8889808668545296"/>
    <n v="1.3095034357625499"/>
    <x v="4"/>
    <n v="77"/>
    <s v="voice"/>
    <s v="incoming"/>
    <x v="0"/>
    <s v="Normal"/>
  </r>
  <r>
    <d v="2022-09-27T11:09:49"/>
    <n v="-95.317189028437397"/>
    <n v="21.043610163952799"/>
    <n v="233.57418532793599"/>
    <x v="2"/>
    <n v="2.8260469856234298"/>
    <n v="8.9710034108678194"/>
    <x v="4"/>
    <n v="37"/>
    <s v="voice"/>
    <s v="incoming"/>
    <x v="2"/>
    <s v="Normal"/>
  </r>
  <r>
    <d v="2022-09-28T14:01:41"/>
    <n v="-76.513799193439993"/>
    <n v="28.574764045638201"/>
    <n v="387.29558959500599"/>
    <x v="3"/>
    <n v="4.9515892728209501"/>
    <n v="0.73583009013914502"/>
    <x v="5"/>
    <n v="80"/>
    <s v="data"/>
    <s v="incoming"/>
    <x v="3"/>
    <s v="Normal"/>
  </r>
  <r>
    <d v="2022-09-29T09:23:12"/>
    <n v="-73.135968477139798"/>
    <n v="16.6318253793326"/>
    <n v="323.210796665852"/>
    <x v="2"/>
    <n v="3.8869429225394798"/>
    <n v="9.3631639333431096"/>
    <x v="7"/>
    <n v="21"/>
    <s v="data"/>
    <s v="incoming"/>
    <x v="3"/>
    <s v="Normal"/>
  </r>
  <r>
    <d v="2022-09-30T13:22:21"/>
    <n v="-77.132303266003703"/>
    <n v="26.4992859643625"/>
    <n v="390.47139787216997"/>
    <x v="1"/>
    <n v="2.87004501954608"/>
    <n v="3.9422892539074401"/>
    <x v="6"/>
    <n v="23"/>
    <s v="voice"/>
    <s v="outgoing"/>
    <x v="3"/>
    <s v="Normal"/>
  </r>
  <r>
    <d v="2022-10-01T18:21:28"/>
    <n v="-71.674096595091697"/>
    <n v="26.1552408943183"/>
    <n v="1241.4459180082599"/>
    <x v="2"/>
    <n v="4.7485450799264797"/>
    <n v="5.8019198700733902E-2"/>
    <x v="6"/>
    <n v="19"/>
    <s v="data"/>
    <s v="incoming"/>
    <x v="3"/>
    <s v="Normal"/>
  </r>
  <r>
    <d v="2022-10-02T09:33:06"/>
    <n v="-69.024188331409206"/>
    <n v="27.0415807050307"/>
    <n v="637.63795280260501"/>
    <x v="2"/>
    <n v="0.32352374504269799"/>
    <n v="3.4904168689833899"/>
    <x v="6"/>
    <n v="85"/>
    <s v="data"/>
    <s v="outgoing"/>
    <x v="3"/>
    <s v="Normal"/>
  </r>
  <r>
    <d v="2022-10-03T12:03:31"/>
    <n v="-94.204647548538603"/>
    <n v="21.3724393004129"/>
    <n v="557.01199535994203"/>
    <x v="2"/>
    <n v="0.48754933932227401"/>
    <n v="1.4150161879990699"/>
    <x v="1"/>
    <n v="5"/>
    <s v="data"/>
    <s v="outgoing"/>
    <x v="0"/>
    <s v="Normal"/>
  </r>
  <r>
    <d v="2022-10-04T23:36:37"/>
    <n v="-50.510929230737702"/>
    <n v="12.440903014026301"/>
    <n v="289.56111699885798"/>
    <x v="2"/>
    <n v="1.42390499257198"/>
    <n v="3.1126923136659301"/>
    <x v="9"/>
    <n v="22"/>
    <s v="voice"/>
    <s v="incoming"/>
    <x v="3"/>
    <s v="Normal"/>
  </r>
  <r>
    <d v="2022-10-05T16:10:54"/>
    <n v="-91.202814074053293"/>
    <n v="19.3517064017521"/>
    <n v="1370.61466317183"/>
    <x v="3"/>
    <n v="2.7625040573846902"/>
    <n v="9.3739802531004894"/>
    <x v="9"/>
    <n v="51"/>
    <s v="data"/>
    <s v="outgoing"/>
    <x v="0"/>
    <s v="Normal"/>
  </r>
  <r>
    <d v="2022-10-06T12:01:54"/>
    <n v="-75.475343405349406"/>
    <n v="28.957665727536501"/>
    <n v="1156.3876713504001"/>
    <x v="0"/>
    <n v="9.5103510387868706"/>
    <n v="7.5631374685608996"/>
    <x v="7"/>
    <n v="89"/>
    <s v="voice"/>
    <s v="incoming"/>
    <x v="3"/>
    <s v="Normal"/>
  </r>
  <r>
    <d v="2022-10-07T17:54:16"/>
    <n v="-88.442806206696005"/>
    <n v="29.813945077623799"/>
    <n v="972.75975510294597"/>
    <x v="3"/>
    <n v="4.8208466771521596"/>
    <n v="9.0223937273674295"/>
    <x v="9"/>
    <n v="45"/>
    <s v="data"/>
    <s v="outgoing"/>
    <x v="0"/>
    <s v="Normal"/>
  </r>
  <r>
    <d v="2022-10-08T22:04:37"/>
    <n v="-112.68873068969199"/>
    <n v="16.617144046033001"/>
    <n v="1221.2528504757699"/>
    <x v="2"/>
    <n v="1.80473256010384"/>
    <n v="6.2300034520664003"/>
    <x v="4"/>
    <n v="21"/>
    <s v="data"/>
    <s v="incoming"/>
    <x v="1"/>
    <s v="Normal"/>
  </r>
  <r>
    <d v="2022-10-09T19:36:06"/>
    <n v="-53.639040999834798"/>
    <n v="20.4075713766508"/>
    <n v="1295.82061781574"/>
    <x v="2"/>
    <n v="1.36098494164378"/>
    <n v="0.138415450530288"/>
    <x v="2"/>
    <n v="73"/>
    <s v="data"/>
    <s v="outgoing"/>
    <x v="3"/>
    <s v="Normal"/>
  </r>
  <r>
    <d v="2022-10-10T22:21:18"/>
    <n v="-85.826260894663804"/>
    <n v="19.749517326876301"/>
    <n v="629.26776996565604"/>
    <x v="0"/>
    <n v="9.7808239640529404"/>
    <n v="8.4035083305324303"/>
    <x v="3"/>
    <n v="18"/>
    <s v="data"/>
    <s v="outgoing"/>
    <x v="0"/>
    <s v="Normal"/>
  </r>
  <r>
    <d v="2022-10-11T21:00:27"/>
    <n v="-78.908158569243497"/>
    <n v="13.5730181741322"/>
    <n v="1553.6439729968099"/>
    <x v="3"/>
    <n v="4.4943738559601103"/>
    <n v="1.0464973282622301"/>
    <x v="4"/>
    <n v="66"/>
    <s v="voice"/>
    <s v="outgoing"/>
    <x v="3"/>
    <s v="Normal"/>
  </r>
  <r>
    <d v="2022-10-12T13:27:18"/>
    <n v="-94.372578807200995"/>
    <n v="17.7120085088238"/>
    <n v="875.60656452066496"/>
    <x v="2"/>
    <n v="1.9515726436212399"/>
    <n v="9.7810661161006394"/>
    <x v="0"/>
    <n v="60"/>
    <s v="data"/>
    <s v="outgoing"/>
    <x v="0"/>
    <s v="Normal"/>
  </r>
  <r>
    <d v="2022-10-13T11:45:40"/>
    <n v="-93.683486252942799"/>
    <n v="14.6528394814256"/>
    <n v="1160.80452668203"/>
    <x v="1"/>
    <n v="8.9476182102186499"/>
    <n v="3.5029187943633802"/>
    <x v="7"/>
    <n v="9"/>
    <s v="voice"/>
    <s v="outgoing"/>
    <x v="0"/>
    <s v="Normal"/>
  </r>
  <r>
    <d v="2022-10-14T15:16:39"/>
    <n v="-68.802288588098804"/>
    <n v="15.013610300414101"/>
    <n v="714.73238540871705"/>
    <x v="2"/>
    <n v="0.46449670677830901"/>
    <n v="0.24995436476166999"/>
    <x v="8"/>
    <n v="68"/>
    <s v="data"/>
    <s v="incoming"/>
    <x v="3"/>
    <s v="Normal"/>
  </r>
  <r>
    <d v="2022-10-15T11:46:20"/>
    <n v="-98.664938050635001"/>
    <n v="13.736971431016"/>
    <n v="1236.33048604646"/>
    <x v="2"/>
    <n v="3.4825365260724199"/>
    <n v="5.50102809543053"/>
    <x v="2"/>
    <n v="31"/>
    <s v="data"/>
    <s v="incoming"/>
    <x v="2"/>
    <s v="Normal"/>
  </r>
  <r>
    <d v="2022-10-16T17:19:44"/>
    <n v="-97.151114431525102"/>
    <n v="16.3173893273731"/>
    <n v="329.48709696646"/>
    <x v="3"/>
    <n v="4.6103313354134299"/>
    <n v="9.5201691770538908"/>
    <x v="0"/>
    <n v="34"/>
    <s v="voice"/>
    <s v="incoming"/>
    <x v="2"/>
    <s v="Normal"/>
  </r>
  <r>
    <d v="2022-10-17T21:01:21"/>
    <n v="-64.428179370566596"/>
    <n v="10.2714107156733"/>
    <n v="1517.6497924854"/>
    <x v="1"/>
    <n v="9.2845632555317597"/>
    <n v="1.49630836756524"/>
    <x v="4"/>
    <n v="24"/>
    <s v="voice"/>
    <s v="outgoing"/>
    <x v="3"/>
    <s v="Normal"/>
  </r>
  <r>
    <d v="2022-10-18T17:33:05"/>
    <n v="-92.770475656832303"/>
    <n v="18.472879566838198"/>
    <n v="1584.60040807668"/>
    <x v="2"/>
    <n v="4.6620590683064602"/>
    <n v="4.3723934952322399"/>
    <x v="5"/>
    <n v="47"/>
    <s v="voice"/>
    <s v="outgoing"/>
    <x v="0"/>
    <s v="Normal"/>
  </r>
  <r>
    <d v="2022-10-19T16:05:48"/>
    <n v="-95.062842202547998"/>
    <n v="12.987813010328599"/>
    <n v="176.76233345250901"/>
    <x v="3"/>
    <n v="4.6282057461800399"/>
    <n v="7.9231480173922701"/>
    <x v="4"/>
    <n v="35"/>
    <s v="data"/>
    <s v="outgoing"/>
    <x v="2"/>
    <s v="Normal"/>
  </r>
  <r>
    <d v="2022-10-20T11:24:17"/>
    <n v="-76.573617976260905"/>
    <n v="24.3802939204759"/>
    <n v="517.33040291021496"/>
    <x v="0"/>
    <n v="14.1742477793929"/>
    <n v="6.9795172964991101"/>
    <x v="8"/>
    <n v="26"/>
    <s v="data"/>
    <s v="incoming"/>
    <x v="3"/>
    <s v="High Loss"/>
  </r>
  <r>
    <d v="2022-10-21T22:08:43"/>
    <n v="-99.745540773296"/>
    <n v="21.5922748743432"/>
    <n v="1760.0966605249901"/>
    <x v="2"/>
    <n v="4.3602920454900396"/>
    <n v="5.8586187247305901"/>
    <x v="5"/>
    <n v="49"/>
    <s v="voice"/>
    <s v="incoming"/>
    <x v="2"/>
    <s v="Normal"/>
  </r>
  <r>
    <d v="2022-10-22T21:37:11"/>
    <n v="-109.93072663128"/>
    <n v="11.9207874448269"/>
    <n v="430.98043101609102"/>
    <x v="2"/>
    <n v="4.0893730655504497"/>
    <n v="0.33660745357572303"/>
    <x v="2"/>
    <n v="94"/>
    <s v="data"/>
    <s v="outgoing"/>
    <x v="2"/>
    <s v="Normal"/>
  </r>
  <r>
    <d v="2022-10-23T09:16:19"/>
    <n v="-96.4793434901556"/>
    <n v="19.818668834733401"/>
    <n v="71.182386435678495"/>
    <x v="0"/>
    <n v="11.3172313912328"/>
    <n v="6.7837158129612396"/>
    <x v="1"/>
    <n v="36"/>
    <s v="data"/>
    <s v="incoming"/>
    <x v="2"/>
    <s v="High Loss"/>
  </r>
  <r>
    <d v="2022-10-24T18:22:53"/>
    <n v="-71.878742547294493"/>
    <n v="10.5230364281636"/>
    <n v="325.85706055059899"/>
    <x v="1"/>
    <n v="4.4378152563046402"/>
    <n v="2.6045987114020601"/>
    <x v="3"/>
    <n v="67"/>
    <s v="data"/>
    <s v="incoming"/>
    <x v="3"/>
    <s v="Normal"/>
  </r>
  <r>
    <d v="2022-10-25T21:18:30"/>
    <n v="-117.519759381254"/>
    <n v="18.526492128258699"/>
    <n v="1113.17454000971"/>
    <x v="2"/>
    <n v="3.9682590255151"/>
    <n v="9.0008376808995898"/>
    <x v="0"/>
    <n v="67"/>
    <s v="voice"/>
    <s v="incoming"/>
    <x v="1"/>
    <s v="Normal"/>
  </r>
  <r>
    <d v="2022-10-26T23:27:17"/>
    <n v="-79.068775655865295"/>
    <n v="13.5985628459716"/>
    <n v="738.99022254129795"/>
    <x v="3"/>
    <n v="4.3574948692974598"/>
    <n v="5.8324947256687496"/>
    <x v="8"/>
    <n v="100"/>
    <s v="data"/>
    <s v="outgoing"/>
    <x v="3"/>
    <s v="Normal"/>
  </r>
  <r>
    <d v="2022-10-27T18:36:56"/>
    <n v="-95.728660743424697"/>
    <n v="20.211841214349501"/>
    <n v="345.220174519404"/>
    <x v="2"/>
    <n v="4.5202537961175304"/>
    <n v="4.8875552512150602"/>
    <x v="8"/>
    <n v="58"/>
    <s v="voice"/>
    <s v="incoming"/>
    <x v="2"/>
    <s v="Normal"/>
  </r>
  <r>
    <d v="2022-10-28T23:00:45"/>
    <n v="-68.159938733374602"/>
    <n v="19.5875415370882"/>
    <n v="1261.2721428100001"/>
    <x v="3"/>
    <n v="3.3093944170257799"/>
    <n v="7.5123396906407596"/>
    <x v="0"/>
    <n v="44"/>
    <s v="voice"/>
    <s v="outgoing"/>
    <x v="3"/>
    <s v="Normal"/>
  </r>
  <r>
    <d v="2022-10-29T20:34:14"/>
    <n v="-64.482886059808905"/>
    <n v="28.803187647661801"/>
    <n v="1006.82207582568"/>
    <x v="1"/>
    <n v="6.4805535166606196"/>
    <n v="4.7203868769719701"/>
    <x v="9"/>
    <n v="94"/>
    <s v="data"/>
    <s v="outgoing"/>
    <x v="3"/>
    <s v="Normal"/>
  </r>
  <r>
    <d v="2022-10-30T16:27:22"/>
    <n v="-74.090803698337197"/>
    <n v="14.542556845085301"/>
    <n v="454.52641029559902"/>
    <x v="2"/>
    <n v="1.8943777474135499"/>
    <n v="5.8589878181071198"/>
    <x v="6"/>
    <n v="4"/>
    <s v="voice"/>
    <s v="incoming"/>
    <x v="3"/>
    <s v="Normal"/>
  </r>
  <r>
    <d v="2022-10-31T23:27:49"/>
    <n v="-106.888895861527"/>
    <n v="21.669344937999899"/>
    <n v="261.34675065268198"/>
    <x v="2"/>
    <n v="0.19256604067935601"/>
    <n v="0.97960428641075503"/>
    <x v="2"/>
    <n v="60"/>
    <s v="voice"/>
    <s v="outgoing"/>
    <x v="2"/>
    <s v="Normal"/>
  </r>
  <r>
    <d v="2022-11-01T14:54:00"/>
    <n v="-79.418271180480801"/>
    <n v="18.9030530946252"/>
    <n v="994.73836369540402"/>
    <x v="2"/>
    <n v="3.6386752405970602"/>
    <n v="7.4948690433347203"/>
    <x v="5"/>
    <n v="63"/>
    <s v="voice"/>
    <s v="outgoing"/>
    <x v="3"/>
    <s v="Normal"/>
  </r>
  <r>
    <d v="2022-11-02T18:51:54"/>
    <n v="-95.943666935648807"/>
    <n v="26.437340736067501"/>
    <n v="746.73210513708295"/>
    <x v="1"/>
    <n v="5.2781893261314003"/>
    <n v="1.2102096368308"/>
    <x v="9"/>
    <n v="68"/>
    <s v="voice"/>
    <s v="incoming"/>
    <x v="2"/>
    <s v="Normal"/>
  </r>
  <r>
    <d v="2022-11-03T21:00:58"/>
    <n v="-89.679712991501404"/>
    <n v="10.367119952406"/>
    <n v="1379.4501943620601"/>
    <x v="3"/>
    <n v="7.9912744385842203"/>
    <n v="9.46476125362015"/>
    <x v="6"/>
    <n v="38"/>
    <s v="voice"/>
    <s v="incoming"/>
    <x v="0"/>
    <s v="Normal"/>
  </r>
  <r>
    <d v="2022-11-04T17:48:00"/>
    <n v="-74.780706565653205"/>
    <n v="21.299857700790099"/>
    <n v="1766.8433746041201"/>
    <x v="3"/>
    <n v="2.0986452019451298"/>
    <n v="4.5895096895166398"/>
    <x v="3"/>
    <n v="32"/>
    <s v="data"/>
    <s v="outgoing"/>
    <x v="3"/>
    <s v="Normal"/>
  </r>
  <r>
    <d v="2022-11-05T20:23:53"/>
    <n v="-102.32338075750199"/>
    <n v="20.100613850982601"/>
    <n v="996.73334488053104"/>
    <x v="3"/>
    <n v="2.9767337172309798"/>
    <n v="5.6301697300722502"/>
    <x v="9"/>
    <n v="47"/>
    <s v="voice"/>
    <s v="outgoing"/>
    <x v="2"/>
    <s v="Normal"/>
  </r>
  <r>
    <d v="2022-11-06T11:10:26"/>
    <n v="-104.07020271169699"/>
    <n v="28.6864257433195"/>
    <n v="189.66683006532901"/>
    <x v="2"/>
    <n v="3.8358394053762499"/>
    <n v="5.1832886687388102"/>
    <x v="8"/>
    <n v="61"/>
    <s v="voice"/>
    <s v="incoming"/>
    <x v="2"/>
    <s v="Normal"/>
  </r>
  <r>
    <d v="2022-11-07T14:45:13"/>
    <n v="-101.37961078123701"/>
    <n v="15.0119630816734"/>
    <n v="485.949358444062"/>
    <x v="0"/>
    <n v="8.3130693181113298"/>
    <n v="4.9091142229681797"/>
    <x v="8"/>
    <n v="94"/>
    <s v="voice"/>
    <s v="outgoing"/>
    <x v="2"/>
    <s v="Normal"/>
  </r>
  <r>
    <d v="2022-11-08T19:03:29"/>
    <n v="-93.453580118719202"/>
    <n v="29.4483503874545"/>
    <n v="898.04115195742497"/>
    <x v="3"/>
    <n v="2.8079172583316101"/>
    <n v="7.4430213433289198"/>
    <x v="5"/>
    <n v="73"/>
    <s v="voice"/>
    <s v="outgoing"/>
    <x v="0"/>
    <s v="Normal"/>
  </r>
  <r>
    <d v="2022-11-09T15:55:58"/>
    <n v="-91.892598467273601"/>
    <n v="23.9433732942551"/>
    <n v="48.1776182096173"/>
    <x v="0"/>
    <n v="13.909458477194899"/>
    <n v="4.7126784843343499"/>
    <x v="0"/>
    <n v="85"/>
    <s v="data"/>
    <s v="outgoing"/>
    <x v="0"/>
    <s v="High Loss"/>
  </r>
  <r>
    <d v="2022-11-10T12:47:19"/>
    <n v="-98.468170756559601"/>
    <n v="25.390233774732199"/>
    <n v="1696.2061975946001"/>
    <x v="1"/>
    <n v="7.6481263609146897"/>
    <n v="9.9818055826145997"/>
    <x v="0"/>
    <n v="92"/>
    <s v="voice"/>
    <s v="incoming"/>
    <x v="2"/>
    <s v="Normal"/>
  </r>
  <r>
    <d v="2022-11-11T10:22:51"/>
    <n v="-62.910899344152298"/>
    <n v="25.436868641654499"/>
    <n v="1347.8182191917599"/>
    <x v="1"/>
    <n v="7.6902552541802596"/>
    <n v="2.90661118749509"/>
    <x v="0"/>
    <n v="81"/>
    <s v="data"/>
    <s v="outgoing"/>
    <x v="3"/>
    <s v="Normal"/>
  </r>
  <r>
    <d v="2022-11-12T22:57:21"/>
    <n v="-79.585389010568207"/>
    <n v="23.142308803511298"/>
    <n v="844.91784055279402"/>
    <x v="1"/>
    <n v="8.8014081110412707"/>
    <n v="1.93940670820738"/>
    <x v="7"/>
    <n v="91"/>
    <s v="data"/>
    <s v="incoming"/>
    <x v="3"/>
    <s v="Normal"/>
  </r>
  <r>
    <d v="2022-11-13T11:06:26"/>
    <n v="-67.636243917210095"/>
    <n v="27.889548896485401"/>
    <n v="1012.00262088819"/>
    <x v="2"/>
    <n v="3.9709200681979602"/>
    <n v="2.2440390915920498"/>
    <x v="2"/>
    <n v="27"/>
    <s v="data"/>
    <s v="outgoing"/>
    <x v="3"/>
    <s v="Normal"/>
  </r>
  <r>
    <d v="2022-11-14T15:02:16"/>
    <n v="-67.727274213854002"/>
    <n v="15.538251852225899"/>
    <n v="704.25186495793901"/>
    <x v="1"/>
    <n v="1.70887136049452"/>
    <n v="0.34080624540886101"/>
    <x v="4"/>
    <n v="72"/>
    <s v="voice"/>
    <s v="incoming"/>
    <x v="3"/>
    <s v="Normal"/>
  </r>
  <r>
    <d v="2022-11-15T17:33:32"/>
    <n v="-93.276783096939397"/>
    <n v="24.857779948407199"/>
    <n v="1698.23724766192"/>
    <x v="3"/>
    <n v="4.2161771786456601"/>
    <n v="9.28371245721722"/>
    <x v="1"/>
    <n v="100"/>
    <s v="voice"/>
    <s v="incoming"/>
    <x v="0"/>
    <s v="Normal"/>
  </r>
  <r>
    <d v="2022-11-16T21:26:32"/>
    <n v="-95.993616171492604"/>
    <n v="23.974021050699498"/>
    <n v="1026.3641612782901"/>
    <x v="3"/>
    <n v="4.2775156982985996"/>
    <n v="5.7834364485691303"/>
    <x v="6"/>
    <n v="17"/>
    <s v="voice"/>
    <s v="outgoing"/>
    <x v="2"/>
    <s v="Normal"/>
  </r>
  <r>
    <d v="2022-11-17T13:10:16"/>
    <n v="-98.5669011195331"/>
    <n v="23.395227873537301"/>
    <n v="772.02771829819596"/>
    <x v="3"/>
    <n v="3.9946693779218299"/>
    <n v="5.47768218573525"/>
    <x v="8"/>
    <n v="6"/>
    <s v="data"/>
    <s v="outgoing"/>
    <x v="2"/>
    <s v="Normal"/>
  </r>
  <r>
    <d v="2022-11-18T20:37:37"/>
    <n v="-107.863245045919"/>
    <n v="17.796964266600899"/>
    <n v="138.746860610206"/>
    <x v="0"/>
    <n v="11.689346795848399"/>
    <n v="7.6984018526278799"/>
    <x v="5"/>
    <n v="38"/>
    <s v="data"/>
    <s v="outgoing"/>
    <x v="2"/>
    <s v="High Loss"/>
  </r>
  <r>
    <d v="2022-11-19T10:17:36"/>
    <n v="-98.935519853424694"/>
    <n v="20.286999880159801"/>
    <n v="298.88450092388803"/>
    <x v="0"/>
    <n v="11.2836167105795"/>
    <n v="8.2180858388981495"/>
    <x v="5"/>
    <n v="38"/>
    <s v="data"/>
    <s v="outgoing"/>
    <x v="2"/>
    <s v="High Loss"/>
  </r>
  <r>
    <d v="2022-11-20T20:42:57"/>
    <n v="-74.907231972149901"/>
    <n v="29.041618854305302"/>
    <n v="1005.22675612737"/>
    <x v="3"/>
    <n v="3.4406512805751501"/>
    <n v="7.1048502840705803"/>
    <x v="0"/>
    <n v="22"/>
    <s v="data"/>
    <s v="outgoing"/>
    <x v="3"/>
    <s v="Normal"/>
  </r>
  <r>
    <d v="2022-11-21T12:39:16"/>
    <n v="-90.797594411830801"/>
    <n v="17.113672147791998"/>
    <n v="1159.7644980597299"/>
    <x v="2"/>
    <n v="0.79845490896298399"/>
    <n v="8.1799613018742399"/>
    <x v="4"/>
    <n v="30"/>
    <s v="voice"/>
    <s v="outgoing"/>
    <x v="0"/>
    <s v="Normal"/>
  </r>
  <r>
    <d v="2022-11-22T09:53:16"/>
    <n v="-72.212303841441098"/>
    <n v="19.072160344738499"/>
    <n v="455.09413139397498"/>
    <x v="3"/>
    <n v="7.9568667276694596"/>
    <n v="1.4138205047342201"/>
    <x v="7"/>
    <n v="49"/>
    <s v="voice"/>
    <s v="outgoing"/>
    <x v="3"/>
    <s v="Normal"/>
  </r>
  <r>
    <d v="2022-11-23T12:56:46"/>
    <n v="-68.634064913443396"/>
    <n v="12.5221539998078"/>
    <n v="525.19930929050997"/>
    <x v="1"/>
    <n v="0.96323852640017604"/>
    <n v="7.5470498934917902"/>
    <x v="5"/>
    <n v="99"/>
    <s v="voice"/>
    <s v="outgoing"/>
    <x v="3"/>
    <s v="Normal"/>
  </r>
  <r>
    <d v="2022-11-24T18:36:27"/>
    <n v="-80.390367305200002"/>
    <n v="11.691683814959401"/>
    <n v="183.242323400076"/>
    <x v="1"/>
    <n v="8.5950978799719309"/>
    <n v="0.187207742724287"/>
    <x v="4"/>
    <n v="87"/>
    <s v="voice"/>
    <s v="incoming"/>
    <x v="0"/>
    <s v="Normal"/>
  </r>
  <r>
    <d v="2022-11-25T11:13:04"/>
    <n v="-76.733212277514994"/>
    <n v="26.258406411770999"/>
    <n v="568.35540277970301"/>
    <x v="2"/>
    <n v="0.163901034814493"/>
    <n v="3.4972608244553101"/>
    <x v="2"/>
    <n v="6"/>
    <s v="data"/>
    <s v="outgoing"/>
    <x v="3"/>
    <s v="Normal"/>
  </r>
  <r>
    <d v="2022-11-26T18:45:01"/>
    <n v="-75.203130068790998"/>
    <n v="15.260982052807"/>
    <n v="306.52590159840099"/>
    <x v="1"/>
    <n v="2.0955547330762299"/>
    <n v="1.8862047948031899"/>
    <x v="5"/>
    <n v="53"/>
    <s v="data"/>
    <s v="incoming"/>
    <x v="3"/>
    <s v="Normal"/>
  </r>
  <r>
    <d v="2022-11-27T23:19:36"/>
    <n v="-99.811435669640602"/>
    <n v="12.2551612933317"/>
    <n v="550.19942289346102"/>
    <x v="1"/>
    <n v="6.7806870332277196"/>
    <n v="1.2991773647803999"/>
    <x v="9"/>
    <n v="81"/>
    <s v="voice"/>
    <s v="outgoing"/>
    <x v="2"/>
    <s v="Normal"/>
  </r>
  <r>
    <d v="2022-11-28T23:02:57"/>
    <n v="-67.827522493477503"/>
    <n v="18.377288582602301"/>
    <n v="558.68010434341898"/>
    <x v="2"/>
    <n v="4.0327639468873198"/>
    <n v="0.194868821502374"/>
    <x v="2"/>
    <n v="32"/>
    <s v="data"/>
    <s v="outgoing"/>
    <x v="3"/>
    <s v="Normal"/>
  </r>
  <r>
    <d v="2022-11-29T11:54:15"/>
    <n v="-108.666047670441"/>
    <n v="11.328668691202401"/>
    <n v="1545.62053256338"/>
    <x v="0"/>
    <n v="9.73685636734408"/>
    <n v="0.18326670991624899"/>
    <x v="7"/>
    <n v="50"/>
    <s v="data"/>
    <s v="outgoing"/>
    <x v="2"/>
    <s v="Normal"/>
  </r>
  <r>
    <d v="2022-11-30T11:45:57"/>
    <n v="-83.759793783469902"/>
    <n v="22.527563252780599"/>
    <n v="1047.5274540523701"/>
    <x v="0"/>
    <n v="14.699734102511799"/>
    <n v="2.3821439837286098"/>
    <x v="3"/>
    <n v="62"/>
    <s v="voice"/>
    <s v="incoming"/>
    <x v="0"/>
    <s v="High Loss"/>
  </r>
  <r>
    <d v="2022-12-01T19:40:01"/>
    <n v="-115.07567494113501"/>
    <n v="14.2867053225968"/>
    <n v="835.16126808112494"/>
    <x v="2"/>
    <n v="0.18690389800253099"/>
    <n v="5.3109818650162"/>
    <x v="4"/>
    <n v="96"/>
    <s v="voice"/>
    <s v="outgoing"/>
    <x v="1"/>
    <s v="Normal"/>
  </r>
  <r>
    <d v="2022-12-02T12:42:25"/>
    <n v="-104.93871618799599"/>
    <n v="13.2396396458197"/>
    <n v="963.88994567933401"/>
    <x v="0"/>
    <n v="12.359976072820601"/>
    <n v="5.5584004925104997"/>
    <x v="2"/>
    <n v="28"/>
    <s v="voice"/>
    <s v="outgoing"/>
    <x v="2"/>
    <s v="High Loss"/>
  </r>
  <r>
    <d v="2022-12-03T16:13:35"/>
    <n v="-71.981466925647197"/>
    <n v="11.501597603204999"/>
    <n v="1721.23869922111"/>
    <x v="1"/>
    <n v="1.1773980976012599"/>
    <n v="8.4196529816551795"/>
    <x v="7"/>
    <n v="18"/>
    <s v="data"/>
    <s v="incoming"/>
    <x v="3"/>
    <s v="Normal"/>
  </r>
  <r>
    <d v="2022-12-04T16:40:31"/>
    <n v="-78.944114682957505"/>
    <n v="14.5000440281176"/>
    <n v="252.416595011856"/>
    <x v="3"/>
    <n v="6.08462960276659"/>
    <n v="9.1127867127572308"/>
    <x v="0"/>
    <n v="79"/>
    <s v="voice"/>
    <s v="incoming"/>
    <x v="3"/>
    <s v="Normal"/>
  </r>
  <r>
    <d v="2022-12-05T10:47:25"/>
    <n v="-91.896376128621398"/>
    <n v="19.744487439946798"/>
    <n v="1447.57338989344"/>
    <x v="1"/>
    <n v="5.4060193327544104"/>
    <n v="4.3399579544838502"/>
    <x v="7"/>
    <n v="26"/>
    <s v="voice"/>
    <s v="outgoing"/>
    <x v="0"/>
    <s v="Normal"/>
  </r>
  <r>
    <d v="2022-12-06T15:06:13"/>
    <n v="-82.4516914398517"/>
    <n v="14.786130759555199"/>
    <n v="1074.9170315579099"/>
    <x v="0"/>
    <n v="10.5014452868239"/>
    <n v="8.8609037486615101"/>
    <x v="2"/>
    <n v="67"/>
    <s v="data"/>
    <s v="incoming"/>
    <x v="0"/>
    <s v="High Loss"/>
  </r>
  <r>
    <d v="2022-12-07T18:55:15"/>
    <n v="-99.380517786246102"/>
    <n v="27.215800883783398"/>
    <n v="620.94787139944106"/>
    <x v="0"/>
    <n v="14.9397933547056"/>
    <n v="2.8855952305185002"/>
    <x v="9"/>
    <n v="57"/>
    <s v="voice"/>
    <s v="outgoing"/>
    <x v="2"/>
    <s v="High Loss"/>
  </r>
  <r>
    <d v="2022-12-08T17:49:14"/>
    <n v="-74.211207781949796"/>
    <n v="29.872925536782201"/>
    <n v="698.00304766445299"/>
    <x v="3"/>
    <n v="5.1082294904268997"/>
    <n v="3.5398313706543201"/>
    <x v="6"/>
    <n v="98"/>
    <s v="voice"/>
    <s v="outgoing"/>
    <x v="3"/>
    <s v="Normal"/>
  </r>
  <r>
    <d v="2022-12-09T13:15:00"/>
    <n v="-64.621575723169499"/>
    <n v="27.8120712455272"/>
    <n v="667.92519627212903"/>
    <x v="2"/>
    <n v="4.6698142047054496"/>
    <n v="8.3792690186322094"/>
    <x v="4"/>
    <n v="65"/>
    <s v="data"/>
    <s v="incoming"/>
    <x v="3"/>
    <s v="Normal"/>
  </r>
  <r>
    <d v="2022-12-10T16:49:49"/>
    <n v="-103.66481472955201"/>
    <n v="26.222187314572398"/>
    <n v="515.92954348134799"/>
    <x v="2"/>
    <n v="1.3835892678519099"/>
    <n v="8.8541699067523094"/>
    <x v="9"/>
    <n v="62"/>
    <s v="data"/>
    <s v="outgoing"/>
    <x v="2"/>
    <s v="Normal"/>
  </r>
  <r>
    <d v="2022-12-11T19:26:28"/>
    <n v="-87.365121855670395"/>
    <n v="11.3163229519518"/>
    <n v="991.15777907920801"/>
    <x v="3"/>
    <n v="2.1724752020611899"/>
    <n v="1.4874809634161901"/>
    <x v="2"/>
    <n v="54"/>
    <s v="voice"/>
    <s v="incoming"/>
    <x v="0"/>
    <s v="Normal"/>
  </r>
  <r>
    <d v="2022-12-12T15:34:59"/>
    <n v="-84.320620422794505"/>
    <n v="11.301595061081199"/>
    <n v="357.73772766439799"/>
    <x v="2"/>
    <n v="0.766244106190476"/>
    <n v="2.6730047402385102"/>
    <x v="2"/>
    <n v="74"/>
    <s v="voice"/>
    <s v="incoming"/>
    <x v="0"/>
    <s v="Normal"/>
  </r>
  <r>
    <d v="2022-12-13T11:19:07"/>
    <n v="-88.777605275305305"/>
    <n v="26.066995807487"/>
    <n v="1102.8379072226201"/>
    <x v="3"/>
    <n v="4.2993576391030297"/>
    <n v="6.9513999310944099"/>
    <x v="8"/>
    <n v="75"/>
    <s v="data"/>
    <s v="incoming"/>
    <x v="0"/>
    <s v="Normal"/>
  </r>
  <r>
    <d v="2022-12-14T12:23:51"/>
    <n v="-96.735431931601696"/>
    <n v="19.5304014024663"/>
    <n v="1198.4165931867799"/>
    <x v="3"/>
    <n v="3.7466268126771398"/>
    <n v="9.5256543517600694"/>
    <x v="4"/>
    <n v="68"/>
    <s v="data"/>
    <s v="outgoing"/>
    <x v="2"/>
    <s v="Normal"/>
  </r>
  <r>
    <d v="2022-12-15T18:16:41"/>
    <n v="-72.653438336666696"/>
    <n v="20.4723401495784"/>
    <n v="429.85955726033097"/>
    <x v="0"/>
    <n v="10.829355474794699"/>
    <n v="0.35206923576467097"/>
    <x v="6"/>
    <n v="89"/>
    <s v="data"/>
    <s v="incoming"/>
    <x v="3"/>
    <s v="High Loss"/>
  </r>
  <r>
    <d v="2022-12-16T22:47:54"/>
    <n v="-118.681317718823"/>
    <n v="15.3056533938586"/>
    <n v="1621.47908513179"/>
    <x v="2"/>
    <n v="3.78369272956003"/>
    <n v="1.66532712401922"/>
    <x v="5"/>
    <n v="83"/>
    <s v="voice"/>
    <s v="outgoing"/>
    <x v="1"/>
    <s v="Normal"/>
  </r>
  <r>
    <d v="2022-12-17T19:27:28"/>
    <n v="-89.732517463596196"/>
    <n v="19.142353564531"/>
    <n v="501.96757437722198"/>
    <x v="2"/>
    <n v="4.8917721065656803"/>
    <n v="8.41692507672178"/>
    <x v="8"/>
    <n v="34"/>
    <s v="voice"/>
    <s v="incoming"/>
    <x v="0"/>
    <s v="Normal"/>
  </r>
  <r>
    <d v="2022-12-18T20:57:08"/>
    <n v="-50.664413362160197"/>
    <n v="27.910995770528601"/>
    <n v="1068.8920554108199"/>
    <x v="2"/>
    <n v="3.61723132882915"/>
    <n v="6.1730509378796903"/>
    <x v="5"/>
    <n v="63"/>
    <s v="data"/>
    <s v="outgoing"/>
    <x v="3"/>
    <s v="Normal"/>
  </r>
  <r>
    <d v="2022-12-19T14:21:57"/>
    <n v="-84.189961052104294"/>
    <n v="17.7363519640734"/>
    <n v="831.22085176373298"/>
    <x v="2"/>
    <n v="3.5923447356490201"/>
    <n v="2.9849052997871799"/>
    <x v="0"/>
    <n v="5"/>
    <s v="voice"/>
    <s v="outgoing"/>
    <x v="0"/>
    <s v="Normal"/>
  </r>
  <r>
    <d v="2022-12-20T11:25:18"/>
    <n v="-79.9191124219291"/>
    <n v="13.646240629303801"/>
    <n v="201.75625079120601"/>
    <x v="2"/>
    <n v="1.0629382701255801"/>
    <n v="9.5845775811274798"/>
    <x v="7"/>
    <n v="76"/>
    <s v="voice"/>
    <s v="incoming"/>
    <x v="3"/>
    <s v="Normal"/>
  </r>
  <r>
    <d v="2022-12-21T17:44:41"/>
    <n v="-71.522874080118001"/>
    <n v="24.393179460770401"/>
    <n v="1480.3090134066499"/>
    <x v="0"/>
    <n v="8.5416953678106893"/>
    <n v="4.5620548922385202"/>
    <x v="3"/>
    <n v="52"/>
    <s v="data"/>
    <s v="incoming"/>
    <x v="3"/>
    <s v="Normal"/>
  </r>
  <r>
    <d v="2022-12-22T14:18:00"/>
    <n v="-104.518773184998"/>
    <n v="13.843171326319901"/>
    <n v="772.41233082881195"/>
    <x v="2"/>
    <n v="4.58441327806083"/>
    <n v="6.2976566505315201"/>
    <x v="4"/>
    <n v="87"/>
    <s v="voice"/>
    <s v="outgoing"/>
    <x v="2"/>
    <s v="Normal"/>
  </r>
  <r>
    <d v="2022-12-23T19:16:27"/>
    <n v="-69.290274295330207"/>
    <n v="15.412406246174401"/>
    <n v="1696.59635956903"/>
    <x v="2"/>
    <n v="4.7278306372356003"/>
    <n v="5.27858077268891"/>
    <x v="5"/>
    <n v="91"/>
    <s v="voice"/>
    <s v="incoming"/>
    <x v="3"/>
    <s v="Normal"/>
  </r>
  <r>
    <d v="2022-12-24T22:55:23"/>
    <n v="-105.534118142772"/>
    <n v="26.864067267420999"/>
    <n v="1059.4101187138999"/>
    <x v="0"/>
    <n v="6.6559432696002103"/>
    <n v="9.5276146839027103"/>
    <x v="7"/>
    <n v="29"/>
    <s v="voice"/>
    <s v="outgoing"/>
    <x v="2"/>
    <s v="Normal"/>
  </r>
  <r>
    <d v="2022-12-25T13:49:11"/>
    <n v="-64.809972065792607"/>
    <n v="16.750780112827101"/>
    <n v="554.15003216299601"/>
    <x v="1"/>
    <n v="4.8336667993857603"/>
    <n v="7.8118732903488999"/>
    <x v="0"/>
    <n v="17"/>
    <s v="voice"/>
    <s v="incoming"/>
    <x v="3"/>
    <s v="Normal"/>
  </r>
  <r>
    <d v="2022-12-26T10:22:09"/>
    <n v="-57.155934075970499"/>
    <n v="13.959885452008001"/>
    <n v="1474.72704713913"/>
    <x v="2"/>
    <n v="2.93377806986414"/>
    <n v="2.0595678646666999"/>
    <x v="7"/>
    <n v="54"/>
    <s v="voice"/>
    <s v="incoming"/>
    <x v="3"/>
    <s v="Normal"/>
  </r>
  <r>
    <d v="2022-12-27T21:21:10"/>
    <n v="-61.461306833424203"/>
    <n v="25.836444237179499"/>
    <n v="324.43364212341402"/>
    <x v="1"/>
    <n v="1.94269093097868"/>
    <n v="2.60016564102119"/>
    <x v="3"/>
    <n v="10"/>
    <s v="data"/>
    <s v="outgoing"/>
    <x v="3"/>
    <s v="Normal"/>
  </r>
  <r>
    <d v="2022-12-28T10:50:56"/>
    <n v="-99.142211945167006"/>
    <n v="29.4788158591832"/>
    <n v="495.05347689365902"/>
    <x v="3"/>
    <n v="5.5228634996239601"/>
    <n v="9.3353781644956992"/>
    <x v="7"/>
    <n v="83"/>
    <s v="data"/>
    <s v="outgoing"/>
    <x v="2"/>
    <s v="Normal"/>
  </r>
  <r>
    <d v="2022-12-29T11:27:02"/>
    <n v="-84.158888485715593"/>
    <n v="27.514472260370301"/>
    <n v="749.89246237131204"/>
    <x v="2"/>
    <n v="2.0513141438908198"/>
    <n v="1.3580557072645401"/>
    <x v="3"/>
    <n v="56"/>
    <s v="data"/>
    <s v="outgoing"/>
    <x v="0"/>
    <s v="Normal"/>
  </r>
  <r>
    <d v="2022-12-30T23:13:38"/>
    <n v="-76.354874774158901"/>
    <n v="16.254858256601299"/>
    <n v="845.84796304607596"/>
    <x v="0"/>
    <n v="8.6734930077482293"/>
    <n v="9.5760396591500108"/>
    <x v="0"/>
    <n v="11"/>
    <s v="data"/>
    <s v="outgoing"/>
    <x v="3"/>
    <s v="Normal"/>
  </r>
  <r>
    <d v="2022-12-31T22:38:35"/>
    <n v="-72.253225982908404"/>
    <n v="28.000979759106698"/>
    <n v="693.72632176777699"/>
    <x v="0"/>
    <n v="6.3423971351017903"/>
    <n v="5.9882706937685404"/>
    <x v="3"/>
    <n v="33"/>
    <s v="voice"/>
    <s v="outgoing"/>
    <x v="3"/>
    <s v="Normal"/>
  </r>
  <r>
    <d v="2022-01-01T19:32:01"/>
    <n v="-75.205270459085"/>
    <n v="29.961826867463"/>
    <n v="1041.90207512596"/>
    <x v="2"/>
    <n v="4.3004650701526304"/>
    <n v="1.58455348655662"/>
    <x v="6"/>
    <n v="42"/>
    <s v="data"/>
    <s v="incoming"/>
    <x v="3"/>
    <s v="Normal"/>
  </r>
  <r>
    <d v="2022-01-02T16:18:37"/>
    <n v="-65.700173616188493"/>
    <n v="27.857896338945299"/>
    <n v="1274.65549472674"/>
    <x v="2"/>
    <n v="4.7680666019671802"/>
    <n v="0.68650633712584896"/>
    <x v="0"/>
    <n v="25"/>
    <s v="data"/>
    <s v="incoming"/>
    <x v="3"/>
    <s v="Normal"/>
  </r>
  <r>
    <d v="2022-01-03T16:25:29"/>
    <n v="-105.743858106942"/>
    <n v="12.202887826416699"/>
    <n v="871.02827333898495"/>
    <x v="2"/>
    <n v="4.2169032227588401"/>
    <n v="2.6452133397322499"/>
    <x v="0"/>
    <n v="38"/>
    <s v="voice"/>
    <s v="outgoing"/>
    <x v="2"/>
    <s v="Normal"/>
  </r>
  <r>
    <d v="2022-01-04T16:56:35"/>
    <n v="-83.8115845397584"/>
    <n v="18.328766693384299"/>
    <n v="910.509883534457"/>
    <x v="3"/>
    <n v="4.9711388742445903"/>
    <n v="7.1111675495312193E-2"/>
    <x v="4"/>
    <n v="75"/>
    <s v="data"/>
    <s v="incoming"/>
    <x v="0"/>
    <s v="Normal"/>
  </r>
  <r>
    <d v="2022-01-05T16:21:42"/>
    <n v="-88.143408808330406"/>
    <n v="15.7804367875571"/>
    <n v="1487.77377458764"/>
    <x v="0"/>
    <n v="7.3864616761841404"/>
    <n v="2.4510683942384799"/>
    <x v="0"/>
    <n v="57"/>
    <s v="data"/>
    <s v="incoming"/>
    <x v="0"/>
    <s v="Normal"/>
  </r>
  <r>
    <d v="2022-01-06T15:20:42"/>
    <n v="-97.870099807465394"/>
    <n v="23.811294095834601"/>
    <n v="604.29298006036504"/>
    <x v="1"/>
    <n v="1.9426306689642701"/>
    <n v="7.1379868054259896"/>
    <x v="8"/>
    <n v="18"/>
    <s v="data"/>
    <s v="incoming"/>
    <x v="2"/>
    <s v="Normal"/>
  </r>
  <r>
    <d v="2022-01-07T22:21:30"/>
    <n v="-83.753217523701693"/>
    <n v="16.082385705467001"/>
    <n v="168.033906921659"/>
    <x v="2"/>
    <n v="4.5153013605929004"/>
    <n v="3.5655085251954"/>
    <x v="2"/>
    <n v="83"/>
    <s v="data"/>
    <s v="outgoing"/>
    <x v="0"/>
    <s v="Normal"/>
  </r>
  <r>
    <d v="2022-01-08T23:34:55"/>
    <n v="-95.547265906666993"/>
    <n v="28.157038060753901"/>
    <n v="1439.79209607759"/>
    <x v="2"/>
    <n v="1.9769245378887099"/>
    <n v="2.6470309163810599"/>
    <x v="8"/>
    <n v="3"/>
    <s v="voice"/>
    <s v="incoming"/>
    <x v="2"/>
    <s v="Normal"/>
  </r>
  <r>
    <d v="2022-01-09T16:00:19"/>
    <n v="-94.891420922173396"/>
    <n v="18.408588626322199"/>
    <n v="1674.71469107605"/>
    <x v="1"/>
    <n v="5.5419405591974202"/>
    <n v="7.5170947391688099"/>
    <x v="2"/>
    <n v="46"/>
    <s v="data"/>
    <s v="outgoing"/>
    <x v="0"/>
    <s v="Normal"/>
  </r>
  <r>
    <d v="2022-01-10T22:45:29"/>
    <n v="-80.302784618774496"/>
    <n v="20.6863020958356"/>
    <n v="78.339648761741699"/>
    <x v="1"/>
    <n v="8.6437184551098092"/>
    <n v="7.97413955954244"/>
    <x v="3"/>
    <n v="46"/>
    <s v="voice"/>
    <s v="outgoing"/>
    <x v="0"/>
    <s v="Normal"/>
  </r>
  <r>
    <d v="2022-01-11T15:27:05"/>
    <n v="-109.17744839861101"/>
    <n v="14.1094401870541"/>
    <n v="1055.3833654804901"/>
    <x v="0"/>
    <n v="9.7710680857656609"/>
    <n v="5.9473190725161196"/>
    <x v="5"/>
    <n v="30"/>
    <s v="voice"/>
    <s v="incoming"/>
    <x v="2"/>
    <s v="Normal"/>
  </r>
  <r>
    <d v="2022-01-12T11:28:37"/>
    <n v="-79.743760589819303"/>
    <n v="28.2231615467133"/>
    <n v="120.452952878123"/>
    <x v="0"/>
    <n v="13.1221607758308"/>
    <n v="8.1372961802642294"/>
    <x v="9"/>
    <n v="45"/>
    <s v="data"/>
    <s v="outgoing"/>
    <x v="3"/>
    <s v="High Loss"/>
  </r>
  <r>
    <d v="2022-01-13T14:37:26"/>
    <n v="-59.435190047011197"/>
    <n v="14.297011374129699"/>
    <n v="1763.5035311357201"/>
    <x v="2"/>
    <n v="2.8193908880220402"/>
    <n v="2.3896735221441801"/>
    <x v="0"/>
    <n v="56"/>
    <s v="data"/>
    <s v="outgoing"/>
    <x v="3"/>
    <s v="Normal"/>
  </r>
  <r>
    <d v="2022-01-14T15:46:02"/>
    <n v="-77.918575957706594"/>
    <n v="12.788558382354701"/>
    <n v="669.66216479501202"/>
    <x v="0"/>
    <n v="6.9865246386795903"/>
    <n v="9.1343985418727005"/>
    <x v="3"/>
    <n v="62"/>
    <s v="data"/>
    <s v="outgoing"/>
    <x v="3"/>
    <s v="Normal"/>
  </r>
  <r>
    <d v="2022-01-15T23:18:24"/>
    <n v="-69.412185275418196"/>
    <n v="15.506797100993399"/>
    <n v="792.24986255669501"/>
    <x v="1"/>
    <n v="7.1141394092688097"/>
    <n v="6.7094153362861899"/>
    <x v="6"/>
    <n v="9"/>
    <s v="voice"/>
    <s v="incoming"/>
    <x v="3"/>
    <s v="Normal"/>
  </r>
  <r>
    <d v="2022-01-16T10:45:41"/>
    <n v="-94.904836022990295"/>
    <n v="18.189532700997201"/>
    <n v="554.15548990528305"/>
    <x v="3"/>
    <n v="3.0339868329130599"/>
    <n v="0.82883492797753799"/>
    <x v="5"/>
    <n v="55"/>
    <s v="voice"/>
    <s v="incoming"/>
    <x v="0"/>
    <s v="Normal"/>
  </r>
  <r>
    <d v="2022-01-17T17:05:09"/>
    <n v="-74.857234262207399"/>
    <n v="23.856290324821199"/>
    <n v="192.924710157985"/>
    <x v="0"/>
    <n v="11.9809492813819"/>
    <n v="9.8184369294205993"/>
    <x v="4"/>
    <n v="50"/>
    <s v="data"/>
    <s v="outgoing"/>
    <x v="3"/>
    <s v="High Loss"/>
  </r>
  <r>
    <d v="2022-01-18T13:05:58"/>
    <n v="-86.628769202077805"/>
    <n v="20.309612766163301"/>
    <n v="580.70368164433603"/>
    <x v="3"/>
    <n v="2.3673499130925499"/>
    <n v="6.4833578729781403"/>
    <x v="0"/>
    <n v="42"/>
    <s v="data"/>
    <s v="outgoing"/>
    <x v="0"/>
    <s v="Normal"/>
  </r>
  <r>
    <d v="2022-01-19T16:22:50"/>
    <n v="-103.18654358091101"/>
    <n v="29.192171210077401"/>
    <n v="734.83120960995996"/>
    <x v="3"/>
    <n v="2.03532017533793"/>
    <n v="2.9694619318035098"/>
    <x v="9"/>
    <n v="91"/>
    <s v="data"/>
    <s v="incoming"/>
    <x v="2"/>
    <s v="Normal"/>
  </r>
  <r>
    <d v="2022-01-20T22:48:36"/>
    <n v="-73.132304249092499"/>
    <n v="13.8010285867907"/>
    <n v="1684.1336549940299"/>
    <x v="2"/>
    <n v="1.6335627636672201"/>
    <n v="4.7037846147680202"/>
    <x v="9"/>
    <n v="80"/>
    <s v="data"/>
    <s v="outgoing"/>
    <x v="3"/>
    <s v="Normal"/>
  </r>
  <r>
    <d v="2022-01-21T09:35:37"/>
    <n v="-68.219083656235199"/>
    <n v="23.082588053642802"/>
    <n v="890.38741363455995"/>
    <x v="2"/>
    <n v="4.9903630580725098"/>
    <n v="2.0532321119623198"/>
    <x v="4"/>
    <n v="30"/>
    <s v="voice"/>
    <s v="outgoing"/>
    <x v="3"/>
    <s v="Normal"/>
  </r>
  <r>
    <d v="2022-01-22T19:03:43"/>
    <n v="-86.295854250444094"/>
    <n v="16.177975848237001"/>
    <n v="433.12416628462103"/>
    <x v="1"/>
    <n v="2.9329347058064998"/>
    <n v="6.3938428025128999"/>
    <x v="1"/>
    <n v="76"/>
    <s v="data"/>
    <s v="incoming"/>
    <x v="0"/>
    <s v="Normal"/>
  </r>
  <r>
    <d v="2022-01-23T17:32:22"/>
    <n v="-90.535654898727898"/>
    <n v="21.876693288496099"/>
    <n v="30.671304631699101"/>
    <x v="3"/>
    <n v="7.7537698310075598"/>
    <n v="5.3322232161726699"/>
    <x v="1"/>
    <n v="81"/>
    <s v="data"/>
    <s v="outgoing"/>
    <x v="0"/>
    <s v="Normal"/>
  </r>
  <r>
    <d v="2022-01-24T18:51:32"/>
    <n v="-105.28338719926199"/>
    <n v="25.643445426600302"/>
    <n v="923.77716443486804"/>
    <x v="0"/>
    <n v="11.664580535088"/>
    <n v="8.7012918372036197"/>
    <x v="2"/>
    <n v="25"/>
    <s v="voice"/>
    <s v="outgoing"/>
    <x v="2"/>
    <s v="High Loss"/>
  </r>
  <r>
    <d v="2022-01-25T17:38:45"/>
    <n v="-66.734551345755804"/>
    <n v="25.955576209347601"/>
    <n v="156.095027890935"/>
    <x v="3"/>
    <n v="4.0515962871129796"/>
    <n v="6.5551794649316797"/>
    <x v="4"/>
    <n v="2"/>
    <s v="voice"/>
    <s v="incoming"/>
    <x v="3"/>
    <s v="Normal"/>
  </r>
  <r>
    <d v="2022-01-26T09:29:48"/>
    <n v="-83.964511614985597"/>
    <n v="13.8124317511696"/>
    <n v="1408.02615826018"/>
    <x v="3"/>
    <n v="4.3049516685295099"/>
    <n v="7.6557422313066601"/>
    <x v="1"/>
    <n v="75"/>
    <s v="data"/>
    <s v="outgoing"/>
    <x v="0"/>
    <s v="Normal"/>
  </r>
  <r>
    <d v="2022-01-27T11:11:15"/>
    <n v="-81.263350298930305"/>
    <n v="22.435889792596601"/>
    <n v="826.62096865270303"/>
    <x v="0"/>
    <n v="9.6257439660920294"/>
    <n v="0.63314525803670696"/>
    <x v="3"/>
    <n v="70"/>
    <s v="data"/>
    <s v="outgoing"/>
    <x v="0"/>
    <s v="Normal"/>
  </r>
  <r>
    <d v="2022-01-28T18:55:35"/>
    <n v="-81.601686546599794"/>
    <n v="18.289384480707099"/>
    <n v="456.36965842149601"/>
    <x v="1"/>
    <n v="0.45424079109746501"/>
    <n v="3.2624220551834902"/>
    <x v="4"/>
    <n v="87"/>
    <s v="voice"/>
    <s v="incoming"/>
    <x v="0"/>
    <s v="Normal"/>
  </r>
  <r>
    <d v="2022-01-29T18:30:37"/>
    <n v="-72.554891864135698"/>
    <n v="20.256760535586899"/>
    <n v="1676.51891161151"/>
    <x v="2"/>
    <n v="1.7731645972360699"/>
    <n v="4.8022305697787901"/>
    <x v="6"/>
    <n v="23"/>
    <s v="voice"/>
    <s v="outgoing"/>
    <x v="3"/>
    <s v="Normal"/>
  </r>
  <r>
    <d v="2022-01-30T09:36:29"/>
    <n v="-98.029357853937697"/>
    <n v="20.858552074816501"/>
    <n v="1201.0855686955199"/>
    <x v="3"/>
    <n v="2.7089718765492701"/>
    <n v="5.0352575758380702"/>
    <x v="0"/>
    <n v="11"/>
    <s v="voice"/>
    <s v="incoming"/>
    <x v="2"/>
    <s v="Normal"/>
  </r>
  <r>
    <d v="2022-01-31T19:53:43"/>
    <n v="-68.665932440204301"/>
    <n v="27.155800743826099"/>
    <n v="94.2933484418636"/>
    <x v="3"/>
    <n v="6.2241499819883996"/>
    <n v="5.1427893429473697"/>
    <x v="7"/>
    <n v="3"/>
    <s v="voice"/>
    <s v="incoming"/>
    <x v="3"/>
    <s v="Normal"/>
  </r>
  <r>
    <d v="2022-02-01T17:22:21"/>
    <n v="-80.973446101241805"/>
    <n v="25.876571784318401"/>
    <n v="1035.7029647499901"/>
    <x v="2"/>
    <n v="1.84469149325705"/>
    <n v="5.6450636586335001"/>
    <x v="6"/>
    <n v="12"/>
    <s v="data"/>
    <s v="incoming"/>
    <x v="0"/>
    <s v="Normal"/>
  </r>
  <r>
    <d v="2022-02-02T11:30:49"/>
    <n v="-89.720191493346306"/>
    <n v="28.599658055705302"/>
    <n v="1612.9840519204099"/>
    <x v="1"/>
    <n v="5.9547710604853501"/>
    <n v="2.0169007329936801"/>
    <x v="6"/>
    <n v="47"/>
    <s v="data"/>
    <s v="incoming"/>
    <x v="0"/>
    <s v="Normal"/>
  </r>
  <r>
    <d v="2022-02-03T15:26:27"/>
    <n v="-63.492403923721902"/>
    <n v="15.8772778174806"/>
    <n v="474.89486143941701"/>
    <x v="2"/>
    <n v="4.2254874773218203E-2"/>
    <n v="5.7860497658446102"/>
    <x v="8"/>
    <n v="37"/>
    <s v="voice"/>
    <s v="outgoing"/>
    <x v="3"/>
    <s v="Normal"/>
  </r>
  <r>
    <d v="2022-02-04T13:58:51"/>
    <n v="-93.455637830947495"/>
    <n v="18.101197295992002"/>
    <n v="65.2846511909474"/>
    <x v="3"/>
    <n v="6.99715861932716"/>
    <n v="5.40794797094083"/>
    <x v="2"/>
    <n v="97"/>
    <s v="data"/>
    <s v="incoming"/>
    <x v="0"/>
    <s v="Normal"/>
  </r>
  <r>
    <d v="2022-02-05T22:04:26"/>
    <n v="-67.219786615885397"/>
    <n v="13.084205635412401"/>
    <n v="1559.38283600154"/>
    <x v="2"/>
    <n v="0.66398591999187795"/>
    <n v="8.4050777418566796"/>
    <x v="7"/>
    <n v="17"/>
    <s v="data"/>
    <s v="outgoing"/>
    <x v="3"/>
    <s v="Normal"/>
  </r>
  <r>
    <d v="2022-02-06T23:12:42"/>
    <n v="-76.729923372653403"/>
    <n v="25.510470826704999"/>
    <n v="785.59870587829198"/>
    <x v="1"/>
    <n v="4.6282197346290301"/>
    <n v="5.4219890709017298"/>
    <x v="4"/>
    <n v="1"/>
    <s v="data"/>
    <s v="outgoing"/>
    <x v="3"/>
    <s v="Normal"/>
  </r>
  <r>
    <d v="2022-02-07T10:33:05"/>
    <n v="-71.507545277565598"/>
    <n v="17.546362064715002"/>
    <n v="1741.7535639370999"/>
    <x v="3"/>
    <n v="2.69992065239148"/>
    <n v="2.48398821802073"/>
    <x v="2"/>
    <n v="29"/>
    <s v="voice"/>
    <s v="incoming"/>
    <x v="3"/>
    <s v="Normal"/>
  </r>
  <r>
    <d v="2022-02-08T15:25:44"/>
    <n v="-89.572792739636597"/>
    <n v="19.010286656843501"/>
    <n v="920.88340106539295"/>
    <x v="1"/>
    <n v="8.7056307593603002"/>
    <n v="3.6701752822115501"/>
    <x v="6"/>
    <n v="43"/>
    <s v="voice"/>
    <s v="outgoing"/>
    <x v="0"/>
    <s v="Normal"/>
  </r>
  <r>
    <d v="2022-02-09T18:29:26"/>
    <n v="-75.018895560604506"/>
    <n v="28.763111696961399"/>
    <n v="1783.16119351252"/>
    <x v="3"/>
    <n v="7.5769941412887398"/>
    <n v="6.6024083167029097"/>
    <x v="5"/>
    <n v="69"/>
    <s v="voice"/>
    <s v="incoming"/>
    <x v="3"/>
    <s v="Normal"/>
  </r>
  <r>
    <d v="2022-02-10T12:40:37"/>
    <n v="-99.473408361866802"/>
    <n v="13.8405967808733"/>
    <n v="463.40750620306699"/>
    <x v="0"/>
    <n v="7.2870925938821198"/>
    <n v="4.6885826950143104"/>
    <x v="6"/>
    <n v="86"/>
    <s v="voice"/>
    <s v="incoming"/>
    <x v="2"/>
    <s v="Normal"/>
  </r>
  <r>
    <d v="2022-02-11T18:04:42"/>
    <n v="-85.171326886449606"/>
    <n v="23.131393754088698"/>
    <n v="1535.95853281276"/>
    <x v="0"/>
    <n v="13.058010844443899"/>
    <n v="9.0153136595931898"/>
    <x v="6"/>
    <n v="66"/>
    <s v="voice"/>
    <s v="incoming"/>
    <x v="0"/>
    <s v="High Loss"/>
  </r>
  <r>
    <d v="2022-02-12T19:57:29"/>
    <n v="-71.256720254046002"/>
    <n v="20.672314071664999"/>
    <n v="388.20612110539503"/>
    <x v="1"/>
    <n v="1.1396310498756499"/>
    <n v="7.4553368679395797"/>
    <x v="0"/>
    <n v="17"/>
    <s v="data"/>
    <s v="incoming"/>
    <x v="3"/>
    <s v="Normal"/>
  </r>
  <r>
    <d v="2022-02-13T18:17:57"/>
    <n v="-99.505301760880897"/>
    <n v="29.012158803457002"/>
    <n v="1541.91341877229"/>
    <x v="1"/>
    <n v="2.9532493961972599"/>
    <n v="9.72775737789493"/>
    <x v="1"/>
    <n v="71"/>
    <s v="data"/>
    <s v="incoming"/>
    <x v="2"/>
    <s v="Normal"/>
  </r>
  <r>
    <d v="2022-02-14T16:30:02"/>
    <n v="-94.304332538145303"/>
    <n v="21.022139286695001"/>
    <n v="1402.1977644931201"/>
    <x v="0"/>
    <n v="10.5488535587416"/>
    <n v="7.4502100748516904"/>
    <x v="6"/>
    <n v="34"/>
    <s v="data"/>
    <s v="outgoing"/>
    <x v="0"/>
    <s v="High Loss"/>
  </r>
  <r>
    <d v="2022-02-15T17:02:18"/>
    <n v="-100.665524471071"/>
    <n v="21.989502848831499"/>
    <n v="1738.53821212203"/>
    <x v="3"/>
    <n v="3.8244171616511999"/>
    <n v="1.1645331894153199"/>
    <x v="7"/>
    <n v="89"/>
    <s v="data"/>
    <s v="outgoing"/>
    <x v="2"/>
    <s v="Normal"/>
  </r>
  <r>
    <d v="2022-02-16T11:03:00"/>
    <n v="-68.345348982060401"/>
    <n v="11.9541654959579"/>
    <n v="435.724200253025"/>
    <x v="3"/>
    <n v="7.7607760268935797"/>
    <n v="3.3082883692765299"/>
    <x v="7"/>
    <n v="73"/>
    <s v="data"/>
    <s v="outgoing"/>
    <x v="3"/>
    <s v="Normal"/>
  </r>
  <r>
    <d v="2022-02-17T19:26:17"/>
    <n v="-95.132537223082807"/>
    <n v="15.671716607808399"/>
    <n v="1511.56641222445"/>
    <x v="0"/>
    <n v="10.117210013919999"/>
    <n v="1.51438158644089"/>
    <x v="1"/>
    <n v="70"/>
    <s v="voice"/>
    <s v="outgoing"/>
    <x v="2"/>
    <s v="High Loss"/>
  </r>
  <r>
    <d v="2022-02-18T14:27:53"/>
    <n v="-84.956229653949507"/>
    <n v="29.566359386936998"/>
    <n v="1396.9513028798499"/>
    <x v="3"/>
    <n v="7.7668073173908896"/>
    <n v="6.0632026463065696"/>
    <x v="7"/>
    <n v="74"/>
    <s v="data"/>
    <s v="incoming"/>
    <x v="0"/>
    <s v="Normal"/>
  </r>
  <r>
    <d v="2022-02-19T09:50:51"/>
    <n v="-82.552024583805306"/>
    <n v="23.020908633321501"/>
    <n v="438.22343584266798"/>
    <x v="1"/>
    <n v="3.3227245512994998"/>
    <n v="1.0977960959341699"/>
    <x v="6"/>
    <n v="60"/>
    <s v="data"/>
    <s v="incoming"/>
    <x v="0"/>
    <s v="Normal"/>
  </r>
  <r>
    <d v="2022-02-20T14:30:53"/>
    <n v="-106.133142964071"/>
    <n v="24.106440376040101"/>
    <n v="1677.35900724676"/>
    <x v="0"/>
    <n v="9.6406253189347808"/>
    <n v="6.4269553399874599"/>
    <x v="0"/>
    <n v="62"/>
    <s v="voice"/>
    <s v="incoming"/>
    <x v="2"/>
    <s v="Normal"/>
  </r>
  <r>
    <d v="2022-02-21T14:28:27"/>
    <n v="-79.729717398356101"/>
    <n v="26.436393640696501"/>
    <n v="670.26123435285899"/>
    <x v="0"/>
    <n v="12.3050709237699"/>
    <n v="9.2574461099650591"/>
    <x v="3"/>
    <n v="69"/>
    <s v="data"/>
    <s v="outgoing"/>
    <x v="3"/>
    <s v="High Loss"/>
  </r>
  <r>
    <d v="2022-02-22T20:09:16"/>
    <n v="-99.263019928702306"/>
    <n v="12.7371423622288"/>
    <n v="742.53611913812404"/>
    <x v="3"/>
    <n v="6.0495813791948096"/>
    <n v="4.8409124740102296"/>
    <x v="9"/>
    <n v="7"/>
    <s v="data"/>
    <s v="outgoing"/>
    <x v="2"/>
    <s v="Normal"/>
  </r>
  <r>
    <d v="2022-02-23T11:12:39"/>
    <n v="-98.000058572189602"/>
    <n v="27.620506793114298"/>
    <n v="1050.17876749064"/>
    <x v="2"/>
    <n v="0.51699795489741796"/>
    <n v="3.0617486172839601"/>
    <x v="4"/>
    <n v="53"/>
    <s v="data"/>
    <s v="outgoing"/>
    <x v="2"/>
    <s v="Normal"/>
  </r>
  <r>
    <d v="2022-02-24T10:16:10"/>
    <n v="-65.144903060654599"/>
    <n v="14.1250153242806"/>
    <n v="250.379665262966"/>
    <x v="2"/>
    <n v="3.6710882068017199"/>
    <n v="0.99060806204904495"/>
    <x v="6"/>
    <n v="64"/>
    <s v="voice"/>
    <s v="outgoing"/>
    <x v="3"/>
    <s v="Normal"/>
  </r>
  <r>
    <d v="2022-02-25T12:33:08"/>
    <n v="-98.782744106010597"/>
    <n v="21.0707027150568"/>
    <n v="517.66211014542102"/>
    <x v="2"/>
    <n v="0.127614289227517"/>
    <n v="3.4343231205029801"/>
    <x v="7"/>
    <n v="78"/>
    <s v="data"/>
    <s v="outgoing"/>
    <x v="2"/>
    <s v="Normal"/>
  </r>
  <r>
    <d v="2022-02-26T13:39:55"/>
    <n v="-73.822920155344804"/>
    <n v="17.3920484050265"/>
    <n v="366.94975945240299"/>
    <x v="3"/>
    <n v="5.9266484868052496"/>
    <n v="4.5770060080507404"/>
    <x v="8"/>
    <n v="47"/>
    <s v="data"/>
    <s v="incoming"/>
    <x v="3"/>
    <s v="Normal"/>
  </r>
  <r>
    <d v="2022-02-27T12:53:57"/>
    <n v="-92.101596511246896"/>
    <n v="10.538339564996599"/>
    <n v="139.673289434395"/>
    <x v="1"/>
    <n v="7.4603001932556303"/>
    <n v="6.6392471309417198"/>
    <x v="7"/>
    <n v="90"/>
    <s v="voice"/>
    <s v="incoming"/>
    <x v="0"/>
    <s v="Normal"/>
  </r>
  <r>
    <d v="2022-02-28T16:26:15"/>
    <n v="-50.122221876305602"/>
    <n v="27.5115133301219"/>
    <n v="1499.09040356531"/>
    <x v="2"/>
    <n v="3.6312661727207902"/>
    <n v="6.8798637932164004"/>
    <x v="9"/>
    <n v="57"/>
    <s v="voice"/>
    <s v="outgoing"/>
    <x v="3"/>
    <s v="Normal"/>
  </r>
  <r>
    <s v="2022-02-29 12:08:52"/>
    <n v="-64.923228400977194"/>
    <n v="21.674904073970101"/>
    <n v="1392.02341032192"/>
    <x v="1"/>
    <n v="3.1540484735340302"/>
    <n v="8.3160671620430193"/>
    <x v="2"/>
    <n v="58"/>
    <s v="voice"/>
    <s v="incoming"/>
    <x v="3"/>
    <s v="Normal"/>
  </r>
  <r>
    <d v="2022-03-01T16:00:24"/>
    <n v="-94.948763686327496"/>
    <n v="17.026501965172201"/>
    <n v="1330.7328253128501"/>
    <x v="3"/>
    <n v="4.2727655557842299"/>
    <n v="6.1324063554237203"/>
    <x v="8"/>
    <n v="52"/>
    <s v="voice"/>
    <s v="incoming"/>
    <x v="0"/>
    <s v="Normal"/>
  </r>
  <r>
    <d v="2022-03-02T22:02:40"/>
    <n v="-82.374030111560799"/>
    <n v="17.434352455213201"/>
    <n v="858.51562139612395"/>
    <x v="0"/>
    <n v="9.1638076867117704"/>
    <n v="1.4646178254951401"/>
    <x v="5"/>
    <n v="39"/>
    <s v="voice"/>
    <s v="outgoing"/>
    <x v="0"/>
    <s v="Normal"/>
  </r>
  <r>
    <d v="2022-03-03T16:47:31"/>
    <n v="-93.259084404078905"/>
    <n v="19.424453079118098"/>
    <n v="1265.5263361310599"/>
    <x v="0"/>
    <n v="8.0115760467077806"/>
    <n v="0.32529260137196198"/>
    <x v="3"/>
    <n v="11"/>
    <s v="voice"/>
    <s v="incoming"/>
    <x v="0"/>
    <s v="Normal"/>
  </r>
  <r>
    <d v="2022-03-04T12:33:48"/>
    <n v="-93.424331290052507"/>
    <n v="28.8348285893317"/>
    <n v="1783.4587094393301"/>
    <x v="1"/>
    <n v="2.9122847888057399"/>
    <n v="8.1751053531538407"/>
    <x v="0"/>
    <n v="34"/>
    <s v="data"/>
    <s v="outgoing"/>
    <x v="0"/>
    <s v="Normal"/>
  </r>
  <r>
    <d v="2022-03-05T20:08:43"/>
    <n v="-109.731554646444"/>
    <n v="13.171237241182"/>
    <n v="1715.7469137355699"/>
    <x v="2"/>
    <n v="2.8329543403696902"/>
    <n v="6.0611452202537697"/>
    <x v="6"/>
    <n v="38"/>
    <s v="data"/>
    <s v="outgoing"/>
    <x v="2"/>
    <s v="Normal"/>
  </r>
  <r>
    <d v="2022-03-06T12:42:30"/>
    <n v="-75.592266207304405"/>
    <n v="19.886349340290401"/>
    <n v="1018.36421186632"/>
    <x v="3"/>
    <n v="2.0466214210014502"/>
    <n v="8.6571989886117002"/>
    <x v="5"/>
    <n v="36"/>
    <s v="voice"/>
    <s v="incoming"/>
    <x v="3"/>
    <s v="Normal"/>
  </r>
  <r>
    <d v="2022-03-07T23:37:05"/>
    <n v="-113.361762064489"/>
    <n v="14.384146008357099"/>
    <n v="39.376341820752202"/>
    <x v="2"/>
    <n v="4.2342964493985802"/>
    <n v="4.5913161296371099"/>
    <x v="3"/>
    <n v="74"/>
    <s v="voice"/>
    <s v="outgoing"/>
    <x v="1"/>
    <s v="Normal"/>
  </r>
  <r>
    <d v="2022-03-08T13:09:40"/>
    <n v="-113.537048785921"/>
    <n v="14.821868370257199"/>
    <n v="1780.41136871956"/>
    <x v="2"/>
    <n v="2.21374761620116"/>
    <n v="1.06588081239511"/>
    <x v="8"/>
    <n v="28"/>
    <s v="voice"/>
    <s v="incoming"/>
    <x v="1"/>
    <s v="Normal"/>
  </r>
  <r>
    <d v="2022-03-09T12:10:43"/>
    <n v="-84.615492249551593"/>
    <n v="24.7748483659689"/>
    <n v="28.5983565205727"/>
    <x v="1"/>
    <n v="1.6911158656493801"/>
    <n v="5.7562363955605704"/>
    <x v="2"/>
    <n v="55"/>
    <s v="voice"/>
    <s v="outgoing"/>
    <x v="0"/>
    <s v="Normal"/>
  </r>
  <r>
    <d v="2022-03-10T15:50:13"/>
    <n v="-74.1629689583404"/>
    <n v="26.9459526419264"/>
    <n v="434.136574506572"/>
    <x v="1"/>
    <n v="8.2623909663905604"/>
    <n v="0.36414361725872502"/>
    <x v="7"/>
    <n v="87"/>
    <s v="voice"/>
    <s v="outgoing"/>
    <x v="3"/>
    <s v="Normal"/>
  </r>
  <r>
    <d v="2022-03-11T18:16:59"/>
    <n v="-109.068474891471"/>
    <n v="19.096178474484901"/>
    <n v="1596.9750703631601"/>
    <x v="0"/>
    <n v="5.5637009604241898"/>
    <n v="9.0776199855803892"/>
    <x v="8"/>
    <n v="93"/>
    <s v="data"/>
    <s v="incoming"/>
    <x v="2"/>
    <s v="Normal"/>
  </r>
  <r>
    <d v="2022-03-12T11:32:07"/>
    <n v="-105.829652642715"/>
    <n v="19.120323535267499"/>
    <n v="975.18430830524403"/>
    <x v="0"/>
    <n v="12.9323392408131"/>
    <n v="0.78677281474378402"/>
    <x v="3"/>
    <n v="34"/>
    <s v="data"/>
    <s v="outgoing"/>
    <x v="2"/>
    <s v="High Loss"/>
  </r>
  <r>
    <d v="2022-03-13T18:29:27"/>
    <n v="-91.050348553197793"/>
    <n v="16.294644339302899"/>
    <n v="113.13300025219201"/>
    <x v="3"/>
    <n v="3.8620185817848198"/>
    <n v="4.3052628283763701"/>
    <x v="2"/>
    <n v="21"/>
    <s v="voice"/>
    <s v="incoming"/>
    <x v="0"/>
    <s v="Normal"/>
  </r>
  <r>
    <d v="2022-03-14T12:30:54"/>
    <n v="-95.468239547522202"/>
    <n v="28.476528061184698"/>
    <n v="66.527680828993496"/>
    <x v="0"/>
    <n v="9.4918939206272803"/>
    <n v="7.5816007114919204"/>
    <x v="6"/>
    <n v="31"/>
    <s v="data"/>
    <s v="incoming"/>
    <x v="2"/>
    <s v="Normal"/>
  </r>
  <r>
    <d v="2022-03-15T15:51:09"/>
    <n v="-88.406402738341697"/>
    <n v="10.4513260709651"/>
    <n v="95.458195986090004"/>
    <x v="1"/>
    <n v="9.8608997061271406"/>
    <n v="0.84745511990136901"/>
    <x v="7"/>
    <n v="30"/>
    <s v="voice"/>
    <s v="incoming"/>
    <x v="0"/>
    <s v="Normal"/>
  </r>
  <r>
    <d v="2022-03-16T18:51:03"/>
    <n v="-76.483943479465196"/>
    <n v="22.9369193316539"/>
    <n v="213.493450530519"/>
    <x v="3"/>
    <n v="4.9040798515663004"/>
    <n v="2.8427831138255799"/>
    <x v="0"/>
    <n v="82"/>
    <s v="voice"/>
    <s v="incoming"/>
    <x v="3"/>
    <s v="Normal"/>
  </r>
  <r>
    <d v="2022-03-17T16:11:21"/>
    <n v="-81.023584017089107"/>
    <n v="11.6758242002151"/>
    <n v="1790.05236051921"/>
    <x v="0"/>
    <n v="6.8169009225070001"/>
    <n v="0.88995270887056099"/>
    <x v="4"/>
    <n v="50"/>
    <s v="voice"/>
    <s v="outgoing"/>
    <x v="0"/>
    <s v="Normal"/>
  </r>
  <r>
    <d v="2022-03-18T14:50:14"/>
    <n v="-77.166971081231296"/>
    <n v="16.121289927545298"/>
    <n v="767.87784271646399"/>
    <x v="0"/>
    <n v="10.491068367607401"/>
    <n v="1.87467568797131"/>
    <x v="5"/>
    <n v="66"/>
    <s v="data"/>
    <s v="outgoing"/>
    <x v="3"/>
    <s v="High Loss"/>
  </r>
  <r>
    <d v="2022-03-19T20:38:24"/>
    <n v="-99.891156384762198"/>
    <n v="26.940664794699"/>
    <n v="165.87339420511699"/>
    <x v="2"/>
    <n v="4.1299998366590298"/>
    <n v="8.4081613356122897"/>
    <x v="3"/>
    <n v="43"/>
    <s v="voice"/>
    <s v="outgoing"/>
    <x v="2"/>
    <s v="Normal"/>
  </r>
  <r>
    <d v="2022-03-20T22:21:51"/>
    <n v="-85.358272474022698"/>
    <n v="24.736959042971598"/>
    <n v="1099.30173973812"/>
    <x v="2"/>
    <n v="4.0339297538470396"/>
    <n v="1.31725178031679"/>
    <x v="5"/>
    <n v="93"/>
    <s v="voice"/>
    <s v="outgoing"/>
    <x v="0"/>
    <s v="Normal"/>
  </r>
  <r>
    <d v="2022-03-21T21:56:39"/>
    <n v="-92.077684349135495"/>
    <n v="17.852208809958299"/>
    <n v="1339.0966755801401"/>
    <x v="0"/>
    <n v="12.465769323042601"/>
    <n v="6.4652812037164402"/>
    <x v="2"/>
    <n v="80"/>
    <s v="data"/>
    <s v="incoming"/>
    <x v="0"/>
    <s v="High Loss"/>
  </r>
  <r>
    <d v="2022-03-22T17:15:06"/>
    <n v="-69.234509897470105"/>
    <n v="23.103197297904099"/>
    <n v="1136.7696651246799"/>
    <x v="1"/>
    <n v="7.5691165687100197"/>
    <n v="0.90979154526608996"/>
    <x v="0"/>
    <n v="63"/>
    <s v="voice"/>
    <s v="outgoing"/>
    <x v="3"/>
    <s v="Normal"/>
  </r>
  <r>
    <d v="2022-03-23T12:45:23"/>
    <n v="-92.911908342164395"/>
    <n v="22.9035703686442"/>
    <n v="408.69187162270498"/>
    <x v="2"/>
    <n v="4.7581471860346696"/>
    <n v="7.3935293450611201"/>
    <x v="1"/>
    <n v="29"/>
    <s v="data"/>
    <s v="outgoing"/>
    <x v="0"/>
    <s v="Normal"/>
  </r>
  <r>
    <d v="2022-03-24T16:54:49"/>
    <n v="-83.759783774541205"/>
    <n v="28.3364441051264"/>
    <n v="539.09816532043601"/>
    <x v="0"/>
    <n v="8.5110597822435103"/>
    <n v="1.6061970915802599"/>
    <x v="5"/>
    <n v="63"/>
    <s v="data"/>
    <s v="incoming"/>
    <x v="0"/>
    <s v="Normal"/>
  </r>
  <r>
    <d v="2022-03-25T16:05:35"/>
    <n v="-108.648094225367"/>
    <n v="28.382816490124799"/>
    <n v="105.296553313822"/>
    <x v="0"/>
    <n v="11.577305066578701"/>
    <n v="0.88746574542995105"/>
    <x v="9"/>
    <n v="19"/>
    <s v="voice"/>
    <s v="incoming"/>
    <x v="2"/>
    <s v="High Loss"/>
  </r>
  <r>
    <d v="2022-03-26T15:55:05"/>
    <n v="-77.807267553441207"/>
    <n v="19.900446710278501"/>
    <n v="687.73699584270798"/>
    <x v="0"/>
    <n v="5.54093664757439"/>
    <n v="6.0799663800691999"/>
    <x v="8"/>
    <n v="88"/>
    <s v="data"/>
    <s v="outgoing"/>
    <x v="3"/>
    <s v="Normal"/>
  </r>
  <r>
    <d v="2022-03-27T12:31:53"/>
    <n v="-58.162771346699799"/>
    <n v="15.737979183464301"/>
    <n v="1111.95601079425"/>
    <x v="2"/>
    <n v="4.9497039086055201"/>
    <n v="5.39320242963504"/>
    <x v="2"/>
    <n v="30"/>
    <s v="data"/>
    <s v="outgoing"/>
    <x v="3"/>
    <s v="Normal"/>
  </r>
  <r>
    <d v="2022-03-28T19:23:20"/>
    <n v="-97.1840367594817"/>
    <n v="17.022416491517799"/>
    <n v="1745.8727558990099"/>
    <x v="0"/>
    <n v="12.5950248550593"/>
    <n v="5.0911488095881898"/>
    <x v="6"/>
    <n v="12"/>
    <s v="voice"/>
    <s v="incoming"/>
    <x v="2"/>
    <s v="High Loss"/>
  </r>
  <r>
    <d v="2022-03-29T21:46:10"/>
    <n v="-85.5413254654177"/>
    <n v="18.813651470269502"/>
    <n v="1433.18022547399"/>
    <x v="3"/>
    <n v="7.3254392503466299"/>
    <n v="3.37420436006503"/>
    <x v="4"/>
    <n v="15"/>
    <s v="voice"/>
    <s v="incoming"/>
    <x v="0"/>
    <s v="Normal"/>
  </r>
  <r>
    <d v="2022-03-30T09:56:22"/>
    <n v="-89.342668342964799"/>
    <n v="25.178714385615301"/>
    <n v="281.99468545942"/>
    <x v="3"/>
    <n v="4.7215158124585201"/>
    <n v="6.8776146143285999"/>
    <x v="8"/>
    <n v="19"/>
    <s v="voice"/>
    <s v="incoming"/>
    <x v="0"/>
    <s v="Normal"/>
  </r>
  <r>
    <d v="2022-03-31T14:47:16"/>
    <n v="-104.28754144428601"/>
    <n v="11.0203372200834"/>
    <n v="700.77609373033704"/>
    <x v="2"/>
    <n v="1.8506672622685401"/>
    <n v="2.8903166929022799"/>
    <x v="2"/>
    <n v="66"/>
    <s v="voice"/>
    <s v="outgoing"/>
    <x v="2"/>
    <s v="Normal"/>
  </r>
  <r>
    <d v="2022-04-01T15:25:48"/>
    <n v="-79.763101474254299"/>
    <n v="14.8931849294773"/>
    <n v="141.674940677423"/>
    <x v="1"/>
    <n v="4.1901242411722697"/>
    <n v="8.6979213100113402"/>
    <x v="6"/>
    <n v="85"/>
    <s v="data"/>
    <s v="incoming"/>
    <x v="3"/>
    <s v="Normal"/>
  </r>
  <r>
    <d v="2022-04-02T20:23:52"/>
    <n v="-94.199960106221596"/>
    <n v="29.325923172334001"/>
    <n v="1283.49097375931"/>
    <x v="1"/>
    <n v="0.32807715683903099"/>
    <n v="7.5142460250628202"/>
    <x v="6"/>
    <n v="100"/>
    <s v="voice"/>
    <s v="incoming"/>
    <x v="0"/>
    <s v="Normal"/>
  </r>
  <r>
    <d v="2022-04-03T19:27:18"/>
    <n v="-72.892654589237495"/>
    <n v="13.170353401325"/>
    <n v="1179.0443606879301"/>
    <x v="1"/>
    <n v="4.5082097063636297"/>
    <n v="5.5581569306706404"/>
    <x v="5"/>
    <n v="30"/>
    <s v="voice"/>
    <s v="incoming"/>
    <x v="3"/>
    <s v="Normal"/>
  </r>
  <r>
    <d v="2022-04-04T19:06:51"/>
    <n v="-66.972821812918497"/>
    <n v="15.583088305756901"/>
    <n v="906.14321131232805"/>
    <x v="1"/>
    <n v="2.1730469284188398"/>
    <n v="2.6320663210598698"/>
    <x v="3"/>
    <n v="3"/>
    <s v="data"/>
    <s v="incoming"/>
    <x v="3"/>
    <s v="Normal"/>
  </r>
  <r>
    <d v="2022-04-05T10:16:11"/>
    <n v="-77.606139550736998"/>
    <n v="26.519150266482601"/>
    <n v="327.55118328389699"/>
    <x v="3"/>
    <n v="4.0059204811590003"/>
    <n v="8.1017457454756503"/>
    <x v="7"/>
    <n v="27"/>
    <s v="data"/>
    <s v="outgoing"/>
    <x v="3"/>
    <s v="Normal"/>
  </r>
  <r>
    <d v="2022-04-06T14:43:53"/>
    <n v="-110.54872786377599"/>
    <n v="15.1476354779653"/>
    <n v="1503.6364587232699"/>
    <x v="2"/>
    <n v="2.6521986985802601"/>
    <n v="7.7193861020423702"/>
    <x v="0"/>
    <n v="31"/>
    <s v="voice"/>
    <s v="outgoing"/>
    <x v="1"/>
    <s v="Normal"/>
  </r>
  <r>
    <d v="2022-04-07T17:08:49"/>
    <n v="-108.254563233505"/>
    <n v="20.451653978182101"/>
    <n v="1761.5840608443"/>
    <x v="2"/>
    <n v="2.0714280484932899"/>
    <n v="2.4924349009114"/>
    <x v="9"/>
    <n v="47"/>
    <s v="data"/>
    <s v="incoming"/>
    <x v="2"/>
    <s v="Normal"/>
  </r>
  <r>
    <d v="2022-04-08T16:01:41"/>
    <n v="-99.218386109390195"/>
    <n v="12.2547342827317"/>
    <n v="355.30155051296299"/>
    <x v="2"/>
    <n v="3.37845037543106"/>
    <n v="9.2683622654028994"/>
    <x v="1"/>
    <n v="20"/>
    <s v="voice"/>
    <s v="outgoing"/>
    <x v="2"/>
    <s v="Normal"/>
  </r>
  <r>
    <d v="2022-04-09T22:47:01"/>
    <n v="-65.124402594713501"/>
    <n v="25.202656103009598"/>
    <n v="145.28036656481299"/>
    <x v="2"/>
    <n v="4.7302003175630203"/>
    <n v="7.5445202985439899"/>
    <x v="7"/>
    <n v="91"/>
    <s v="voice"/>
    <s v="incoming"/>
    <x v="3"/>
    <s v="Normal"/>
  </r>
  <r>
    <m/>
    <m/>
    <m/>
    <m/>
    <x v="4"/>
    <m/>
    <m/>
    <x v="10"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A52B4-C751-47F2-93B3-6B00794DA901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A3:AB8" firstHeaderRow="1" firstDataRow="1" firstDataCol="1"/>
  <pivotFields count="13">
    <pivotField showAll="0"/>
    <pivotField showAll="0"/>
    <pivotField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enuation" fld="5" subtotal="average" baseField="4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92360-0766-4346-8195-9DD440537D1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G3:AL15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4"/>
        <item x="2"/>
        <item x="1"/>
        <item x="8"/>
        <item x="0"/>
        <item x="3"/>
        <item x="5"/>
        <item x="6"/>
        <item x="7"/>
        <item x="9"/>
        <item h="1" x="10"/>
        <item t="default"/>
      </items>
    </pivotField>
    <pivotField showAll="0"/>
    <pivotField showAll="0"/>
    <pivotField showAll="0"/>
    <pivotField axis="axisCol" showAll="0">
      <items count="6">
        <item x="3"/>
        <item x="2"/>
        <item x="0"/>
        <item x="1"/>
        <item x="4"/>
        <item t="default"/>
      </items>
    </pivotField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ower ID" fld="7" subtotal="count" baseField="7" baseItem="0"/>
  </dataFields>
  <chartFormats count="9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8BF65-CFE9-4123-9848-74F0089D75CB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X3:Y8" firstHeaderRow="1" firstDataRow="1" firstDataCol="1"/>
  <pivotFields count="13">
    <pivotField showAll="0"/>
    <pivotField dataField="1" showAll="0"/>
    <pivotField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ignal Strength (dBm)" fld="1" subtotal="average" baseField="4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E10B7-108D-47DD-8CFB-287A9DF27C09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U3:V14" firstHeaderRow="1" firstDataRow="1" firstDataCol="1" rowPageCount="1" colPageCount="1"/>
  <pivotFields count="13">
    <pivotField showAll="0"/>
    <pivotField dataField="1" showAll="0"/>
    <pivotField showAll="0"/>
    <pivotField showAll="0"/>
    <pivotField axis="axisPage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axis="axisRow" multipleItemSelectionAllowed="1" showAll="0">
      <items count="12">
        <item x="4"/>
        <item x="2"/>
        <item x="1"/>
        <item x="8"/>
        <item x="0"/>
        <item x="3"/>
        <item x="5"/>
        <item x="6"/>
        <item x="7"/>
        <item x="9"/>
        <item h="1" x="1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4" item="1" hier="-1"/>
  </pageFields>
  <dataFields count="1">
    <dataField name="Average of Signal Strength (dBm)" fld="1" subtotal="average" baseField="7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DCB24-6200-44FE-9449-2DEEDB176A30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R3:S14" firstHeaderRow="1" firstDataRow="1" firstDataCol="1" rowPageCount="1" colPageCount="1"/>
  <pivotFields count="13">
    <pivotField showAll="0"/>
    <pivotField showAll="0"/>
    <pivotField showAll="0"/>
    <pivotField dataField="1" showAll="0"/>
    <pivotField axis="axisPage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axis="axisRow" showAll="0">
      <items count="12">
        <item x="4"/>
        <item x="2"/>
        <item x="1"/>
        <item x="8"/>
        <item x="0"/>
        <item x="3"/>
        <item x="5"/>
        <item x="6"/>
        <item x="7"/>
        <item x="9"/>
        <item x="1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4" item="3" hier="-1"/>
  </pageFields>
  <dataFields count="1">
    <dataField name="Sum of Call Duration (s)" fld="3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65822-67D9-4362-8EB5-FC633F110E98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O3:P8" firstHeaderRow="1" firstDataRow="1" firstDataCol="1" rowPageCount="1" colPageCount="1"/>
  <pivotFields count="13">
    <pivotField showAll="0"/>
    <pivotField showAll="0"/>
    <pivotField showAll="0"/>
    <pivotField dataField="1" showAll="0"/>
    <pivotField axis="axisPage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item="1" hier="-1"/>
  </pageFields>
  <dataFields count="1">
    <dataField name="Average of Call Duration (s)" fld="3" subtotal="average" baseField="11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A054F-329B-4BE6-B554-88A3698EA3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D3:AE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x="2"/>
        <item x="0"/>
        <item x="1"/>
        <item h="1" x="4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ignal Strength" fld="11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DCBD-5488-4392-88AD-2F3E91E8AB15}">
  <dimension ref="A1:M464"/>
  <sheetViews>
    <sheetView topLeftCell="F1" workbookViewId="0">
      <selection activeCell="P5" sqref="P5"/>
    </sheetView>
  </sheetViews>
  <sheetFormatPr defaultRowHeight="14.4" x14ac:dyDescent="0.3"/>
  <cols>
    <col min="1" max="1" width="18" style="1" bestFit="1" customWidth="1"/>
    <col min="2" max="2" width="18.109375" bestFit="1" customWidth="1"/>
    <col min="3" max="3" width="12" bestFit="1" customWidth="1"/>
    <col min="4" max="4" width="13.77734375" bestFit="1" customWidth="1"/>
    <col min="5" max="5" width="11" style="1" bestFit="1" customWidth="1"/>
    <col min="6" max="6" width="12" bestFit="1" customWidth="1"/>
    <col min="7" max="7" width="19.33203125" bestFit="1" customWidth="1"/>
    <col min="8" max="8" width="7.88671875" bestFit="1" customWidth="1"/>
    <col min="9" max="9" width="6.77734375" bestFit="1" customWidth="1"/>
    <col min="10" max="10" width="8.109375" style="1" bestFit="1" customWidth="1"/>
    <col min="11" max="11" width="16.21875" style="1" bestFit="1" customWidth="1"/>
    <col min="12" max="12" width="12.77734375" bestFit="1" customWidth="1"/>
    <col min="13" max="13" width="11.109375" style="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3">
      <c r="A2" s="3">
        <v>44564.740428240744</v>
      </c>
      <c r="B2">
        <v>-84.119763102008093</v>
      </c>
      <c r="C2">
        <v>25.940081825379099</v>
      </c>
      <c r="D2">
        <v>1713.8005496373601</v>
      </c>
      <c r="E2" s="1" t="s">
        <v>11</v>
      </c>
      <c r="F2">
        <v>14.6904376315739</v>
      </c>
      <c r="G2">
        <v>2.2431763646784799</v>
      </c>
      <c r="H2">
        <v>5</v>
      </c>
      <c r="I2">
        <v>25</v>
      </c>
      <c r="J2" s="1" t="s">
        <v>12</v>
      </c>
      <c r="K2" s="1" t="s">
        <v>13</v>
      </c>
    </row>
    <row r="3" spans="1:12" x14ac:dyDescent="0.3">
      <c r="A3" s="3">
        <v>44565.728831018518</v>
      </c>
      <c r="B3">
        <v>-87.806130827691305</v>
      </c>
      <c r="C3">
        <v>15.937353981909499</v>
      </c>
      <c r="D3">
        <v>345.37184827531598</v>
      </c>
      <c r="E3" s="1" t="s">
        <v>14</v>
      </c>
      <c r="F3">
        <v>6.2136981139148801</v>
      </c>
      <c r="G3">
        <v>5.0025664998508299</v>
      </c>
      <c r="H3">
        <v>3</v>
      </c>
      <c r="I3">
        <v>22</v>
      </c>
      <c r="J3" s="1" t="s">
        <v>15</v>
      </c>
      <c r="K3" s="1" t="s">
        <v>13</v>
      </c>
    </row>
    <row r="4" spans="1:12" x14ac:dyDescent="0.3">
      <c r="A4" s="3">
        <v>44566.71806712963</v>
      </c>
      <c r="B4">
        <v>-116.575175596495</v>
      </c>
      <c r="C4">
        <v>14.7093842796525</v>
      </c>
      <c r="D4">
        <v>259.28504348173999</v>
      </c>
      <c r="E4" s="1" t="s">
        <v>16</v>
      </c>
      <c r="F4">
        <v>4.4944149655434602</v>
      </c>
      <c r="G4">
        <v>8.7059735322043306</v>
      </c>
      <c r="H4">
        <v>2</v>
      </c>
      <c r="I4">
        <v>5</v>
      </c>
      <c r="J4" s="1" t="s">
        <v>15</v>
      </c>
      <c r="K4" s="1" t="s">
        <v>13</v>
      </c>
    </row>
    <row r="5" spans="1:12" x14ac:dyDescent="0.3">
      <c r="A5" s="3">
        <v>44567.668391203704</v>
      </c>
      <c r="B5">
        <v>-82.961182903388007</v>
      </c>
      <c r="C5">
        <v>21.727165092903</v>
      </c>
      <c r="D5">
        <v>357.97400442584899</v>
      </c>
      <c r="E5" s="1" t="s">
        <v>14</v>
      </c>
      <c r="F5">
        <v>7.61995747300384</v>
      </c>
      <c r="G5">
        <v>7.4270245501411702</v>
      </c>
      <c r="H5">
        <v>5</v>
      </c>
      <c r="I5">
        <v>33</v>
      </c>
      <c r="J5" s="1" t="s">
        <v>12</v>
      </c>
      <c r="K5" s="1" t="s">
        <v>17</v>
      </c>
    </row>
    <row r="6" spans="1:12" x14ac:dyDescent="0.3">
      <c r="A6" s="3">
        <v>44568.93005787037</v>
      </c>
      <c r="B6">
        <v>-85.012574109426197</v>
      </c>
      <c r="C6">
        <v>26.058158432953601</v>
      </c>
      <c r="D6">
        <v>398.00671584668697</v>
      </c>
      <c r="E6" s="1" t="s">
        <v>11</v>
      </c>
      <c r="F6">
        <v>10.6551588270581</v>
      </c>
      <c r="G6">
        <v>0.61207051140331303</v>
      </c>
      <c r="H6">
        <v>5</v>
      </c>
      <c r="I6">
        <v>8</v>
      </c>
      <c r="J6" s="1" t="s">
        <v>15</v>
      </c>
      <c r="K6" s="1" t="s">
        <v>17</v>
      </c>
    </row>
    <row r="7" spans="1:12" x14ac:dyDescent="0.3">
      <c r="A7" s="3">
        <v>44569.938680555555</v>
      </c>
      <c r="B7">
        <v>-98.618691644283501</v>
      </c>
      <c r="C7">
        <v>20.606737743653699</v>
      </c>
      <c r="D7">
        <v>1795.1751372477599</v>
      </c>
      <c r="E7" s="1" t="s">
        <v>11</v>
      </c>
      <c r="F7">
        <v>5.6222017802995596</v>
      </c>
      <c r="G7">
        <v>4.70256110231443</v>
      </c>
      <c r="H7">
        <v>6</v>
      </c>
      <c r="I7">
        <v>42</v>
      </c>
      <c r="J7" s="1" t="s">
        <v>12</v>
      </c>
      <c r="K7" s="1" t="s">
        <v>17</v>
      </c>
    </row>
    <row r="8" spans="1:12" x14ac:dyDescent="0.3">
      <c r="A8" s="3">
        <v>44570.860891203702</v>
      </c>
      <c r="B8">
        <v>-74.139398619688706</v>
      </c>
      <c r="C8">
        <v>15.533143797284399</v>
      </c>
      <c r="D8">
        <v>230.32024737271101</v>
      </c>
      <c r="E8" s="1" t="s">
        <v>18</v>
      </c>
      <c r="F8">
        <v>7.6362303505615499</v>
      </c>
      <c r="G8">
        <v>1.66729321639479</v>
      </c>
      <c r="H8">
        <v>1</v>
      </c>
      <c r="I8">
        <v>74</v>
      </c>
      <c r="J8" s="1" t="s">
        <v>15</v>
      </c>
      <c r="K8" s="1" t="s">
        <v>17</v>
      </c>
    </row>
    <row r="9" spans="1:12" x14ac:dyDescent="0.3">
      <c r="A9" s="3">
        <v>44571.919050925928</v>
      </c>
      <c r="B9">
        <v>-50.235330964038397</v>
      </c>
      <c r="C9">
        <v>23.898982806262701</v>
      </c>
      <c r="D9">
        <v>462.11256841159502</v>
      </c>
      <c r="E9" s="1" t="s">
        <v>16</v>
      </c>
      <c r="F9">
        <v>0.44102867514516902</v>
      </c>
      <c r="G9">
        <v>1.1657788478490201</v>
      </c>
      <c r="H9">
        <v>7</v>
      </c>
      <c r="I9">
        <v>16</v>
      </c>
      <c r="J9" s="1" t="s">
        <v>12</v>
      </c>
      <c r="K9" s="1" t="s">
        <v>13</v>
      </c>
    </row>
    <row r="10" spans="1:12" x14ac:dyDescent="0.3">
      <c r="A10" s="3">
        <v>44572.427511574075</v>
      </c>
      <c r="B10">
        <v>-70.1030733993355</v>
      </c>
      <c r="C10">
        <v>20.070369820516799</v>
      </c>
      <c r="D10">
        <v>1697.4233652739799</v>
      </c>
      <c r="E10" s="1" t="s">
        <v>18</v>
      </c>
      <c r="F10">
        <v>5.29849838342348</v>
      </c>
      <c r="G10">
        <v>7.6781262448115903</v>
      </c>
      <c r="H10">
        <v>8</v>
      </c>
      <c r="I10">
        <v>7</v>
      </c>
      <c r="J10" s="1" t="s">
        <v>15</v>
      </c>
      <c r="K10" s="1" t="s">
        <v>17</v>
      </c>
    </row>
    <row r="11" spans="1:12" x14ac:dyDescent="0.3">
      <c r="A11" s="3">
        <v>44573.563530092593</v>
      </c>
      <c r="B11">
        <v>-97.600563685678793</v>
      </c>
      <c r="C11">
        <v>23.437814260372299</v>
      </c>
      <c r="D11">
        <v>1311.06652638329</v>
      </c>
      <c r="E11" s="1" t="s">
        <v>14</v>
      </c>
      <c r="F11">
        <v>1.2358944054824199</v>
      </c>
      <c r="G11">
        <v>4.9720487953707604</v>
      </c>
      <c r="H11">
        <v>8</v>
      </c>
      <c r="I11">
        <v>74</v>
      </c>
      <c r="J11" s="1" t="s">
        <v>12</v>
      </c>
      <c r="K11" s="1" t="s">
        <v>13</v>
      </c>
    </row>
    <row r="12" spans="1:12" x14ac:dyDescent="0.3">
      <c r="A12" s="3">
        <v>44574.63894675926</v>
      </c>
      <c r="B12">
        <v>-99.651735788351999</v>
      </c>
      <c r="C12">
        <v>14.2440707065702</v>
      </c>
      <c r="D12">
        <v>857.84596297745395</v>
      </c>
      <c r="E12" s="1" t="s">
        <v>16</v>
      </c>
      <c r="F12">
        <v>0.757706452627534</v>
      </c>
      <c r="G12">
        <v>9.15753085130582</v>
      </c>
      <c r="H12">
        <v>9</v>
      </c>
      <c r="I12">
        <v>62</v>
      </c>
      <c r="J12" s="1" t="s">
        <v>15</v>
      </c>
      <c r="K12" s="1" t="s">
        <v>13</v>
      </c>
    </row>
    <row r="13" spans="1:12" x14ac:dyDescent="0.3">
      <c r="A13" s="3">
        <v>44575.798831018517</v>
      </c>
      <c r="B13">
        <v>-78.585962191361304</v>
      </c>
      <c r="C13">
        <v>17.391786266451199</v>
      </c>
      <c r="D13">
        <v>683.85262101636499</v>
      </c>
      <c r="E13" s="1" t="s">
        <v>18</v>
      </c>
      <c r="F13">
        <v>5.5869201121765499</v>
      </c>
      <c r="G13">
        <v>7.8695926282484097</v>
      </c>
      <c r="H13">
        <v>3</v>
      </c>
      <c r="I13">
        <v>54</v>
      </c>
      <c r="J13" s="1" t="s">
        <v>15</v>
      </c>
      <c r="K13" s="1" t="s">
        <v>13</v>
      </c>
    </row>
    <row r="14" spans="1:12" x14ac:dyDescent="0.3">
      <c r="A14" s="3">
        <v>44576.386493055557</v>
      </c>
      <c r="B14">
        <v>-105.474205403532</v>
      </c>
      <c r="C14">
        <v>24.770495713434698</v>
      </c>
      <c r="D14">
        <v>1767.79812495087</v>
      </c>
      <c r="E14" s="1" t="s">
        <v>11</v>
      </c>
      <c r="F14">
        <v>7.5153459263088704</v>
      </c>
      <c r="G14">
        <v>5.6941897976390603</v>
      </c>
      <c r="H14">
        <v>8</v>
      </c>
      <c r="I14">
        <v>29</v>
      </c>
      <c r="J14" s="1" t="s">
        <v>15</v>
      </c>
      <c r="K14" s="1" t="s">
        <v>13</v>
      </c>
    </row>
    <row r="15" spans="1:12" x14ac:dyDescent="0.3">
      <c r="A15" s="3">
        <v>44577.986342592594</v>
      </c>
      <c r="B15">
        <v>-77.203486680888702</v>
      </c>
      <c r="C15">
        <v>23.3178640442447</v>
      </c>
      <c r="D15">
        <v>1623.7836866160301</v>
      </c>
      <c r="E15" s="1" t="s">
        <v>11</v>
      </c>
      <c r="F15">
        <v>5.9432384436761998</v>
      </c>
      <c r="G15">
        <v>7.3286556567920504</v>
      </c>
      <c r="H15">
        <v>8</v>
      </c>
      <c r="I15">
        <v>87</v>
      </c>
      <c r="J15" s="1" t="s">
        <v>12</v>
      </c>
      <c r="K15" s="1" t="s">
        <v>13</v>
      </c>
    </row>
    <row r="16" spans="1:12" x14ac:dyDescent="0.3">
      <c r="A16" s="3">
        <v>44578.535370370373</v>
      </c>
      <c r="B16">
        <v>-87.953911510710398</v>
      </c>
      <c r="C16">
        <v>11.221927435054299</v>
      </c>
      <c r="D16">
        <v>20.745315157921699</v>
      </c>
      <c r="E16" s="1" t="s">
        <v>14</v>
      </c>
      <c r="F16">
        <v>3.7768505541019399</v>
      </c>
      <c r="G16">
        <v>8.1556943992729707</v>
      </c>
      <c r="H16">
        <v>4</v>
      </c>
      <c r="I16">
        <v>17</v>
      </c>
      <c r="J16" s="1" t="s">
        <v>15</v>
      </c>
      <c r="K16" s="1" t="s">
        <v>17</v>
      </c>
    </row>
    <row r="17" spans="1:11" x14ac:dyDescent="0.3">
      <c r="A17" s="3">
        <v>44579.705451388887</v>
      </c>
      <c r="B17">
        <v>-82.298764779765406</v>
      </c>
      <c r="C17">
        <v>19.018329207683401</v>
      </c>
      <c r="D17">
        <v>1682.71431249121</v>
      </c>
      <c r="E17" s="1" t="s">
        <v>14</v>
      </c>
      <c r="F17">
        <v>1.4305819074770501</v>
      </c>
      <c r="G17">
        <v>6.0510868156456201</v>
      </c>
      <c r="H17">
        <v>6</v>
      </c>
      <c r="I17">
        <v>80</v>
      </c>
      <c r="J17" s="1" t="s">
        <v>12</v>
      </c>
      <c r="K17" s="1" t="s">
        <v>17</v>
      </c>
    </row>
    <row r="18" spans="1:11" x14ac:dyDescent="0.3">
      <c r="A18" s="3">
        <v>44580.923622685186</v>
      </c>
      <c r="B18">
        <v>-105.543497796024</v>
      </c>
      <c r="C18">
        <v>15.6159048219904</v>
      </c>
      <c r="D18">
        <v>1225.4348518996801</v>
      </c>
      <c r="E18" s="1" t="s">
        <v>16</v>
      </c>
      <c r="F18">
        <v>0.82705457194919896</v>
      </c>
      <c r="G18">
        <v>3.0694058895348499</v>
      </c>
      <c r="H18">
        <v>5</v>
      </c>
      <c r="I18">
        <v>50</v>
      </c>
      <c r="J18" s="1" t="s">
        <v>15</v>
      </c>
      <c r="K18" s="1" t="s">
        <v>17</v>
      </c>
    </row>
    <row r="19" spans="1:11" x14ac:dyDescent="0.3">
      <c r="A19" s="3">
        <v>44581.673182870371</v>
      </c>
      <c r="B19">
        <v>-65.741318493240797</v>
      </c>
      <c r="C19">
        <v>17.951671804222801</v>
      </c>
      <c r="D19">
        <v>1468.4355584012601</v>
      </c>
      <c r="E19" s="1" t="s">
        <v>18</v>
      </c>
      <c r="F19">
        <v>6.1820440991521997</v>
      </c>
      <c r="G19">
        <v>8.1784004003298296</v>
      </c>
      <c r="H19">
        <v>3</v>
      </c>
      <c r="I19">
        <v>91</v>
      </c>
      <c r="J19" s="1" t="s">
        <v>12</v>
      </c>
      <c r="K19" s="1" t="s">
        <v>13</v>
      </c>
    </row>
    <row r="20" spans="1:11" x14ac:dyDescent="0.3">
      <c r="A20" s="3">
        <v>44582.432222222225</v>
      </c>
      <c r="B20">
        <v>-93.135571358703103</v>
      </c>
      <c r="C20">
        <v>19.605711473081598</v>
      </c>
      <c r="D20">
        <v>195.65780928967899</v>
      </c>
      <c r="E20" s="1" t="s">
        <v>18</v>
      </c>
      <c r="F20">
        <v>5.7644491127252602</v>
      </c>
      <c r="G20">
        <v>2.8839084641108399</v>
      </c>
      <c r="H20">
        <v>2</v>
      </c>
      <c r="I20">
        <v>33</v>
      </c>
      <c r="J20" s="1" t="s">
        <v>12</v>
      </c>
      <c r="K20" s="1" t="s">
        <v>13</v>
      </c>
    </row>
    <row r="21" spans="1:11" x14ac:dyDescent="0.3">
      <c r="A21" s="3">
        <v>44583.560740740744</v>
      </c>
      <c r="B21">
        <v>-77.069920515129496</v>
      </c>
      <c r="C21">
        <v>24.830161118784499</v>
      </c>
      <c r="D21">
        <v>1724.0370136014501</v>
      </c>
      <c r="E21" s="1" t="s">
        <v>16</v>
      </c>
      <c r="F21">
        <v>2.5196512620879301</v>
      </c>
      <c r="G21">
        <v>6.0149144221724598</v>
      </c>
      <c r="H21">
        <v>2</v>
      </c>
      <c r="I21">
        <v>29</v>
      </c>
      <c r="J21" s="1" t="s">
        <v>12</v>
      </c>
      <c r="K21" s="1" t="s">
        <v>13</v>
      </c>
    </row>
    <row r="22" spans="1:11" x14ac:dyDescent="0.3">
      <c r="A22" s="3">
        <v>44584.885324074072</v>
      </c>
      <c r="B22">
        <v>-79.615003543572996</v>
      </c>
      <c r="C22">
        <v>12.2102726045732</v>
      </c>
      <c r="D22">
        <v>1362.30000689552</v>
      </c>
      <c r="E22" s="1" t="s">
        <v>16</v>
      </c>
      <c r="F22">
        <v>3.78758676988955</v>
      </c>
      <c r="G22">
        <v>0.48259831349161098</v>
      </c>
      <c r="H22">
        <v>6</v>
      </c>
      <c r="I22">
        <v>7</v>
      </c>
      <c r="J22" s="1" t="s">
        <v>12</v>
      </c>
      <c r="K22" s="1" t="s">
        <v>13</v>
      </c>
    </row>
    <row r="23" spans="1:11" x14ac:dyDescent="0.3">
      <c r="A23" s="3">
        <v>44585.588275462964</v>
      </c>
      <c r="B23">
        <v>-103.437033340852</v>
      </c>
      <c r="C23">
        <v>20.886237533864801</v>
      </c>
      <c r="D23">
        <v>1710.1123971801201</v>
      </c>
      <c r="E23" s="1" t="s">
        <v>11</v>
      </c>
      <c r="F23">
        <v>7.0761211292902599</v>
      </c>
      <c r="G23">
        <v>9.7946103060158691</v>
      </c>
      <c r="H23">
        <v>6</v>
      </c>
      <c r="I23">
        <v>19</v>
      </c>
      <c r="J23" s="1" t="s">
        <v>15</v>
      </c>
      <c r="K23" s="1" t="s">
        <v>13</v>
      </c>
    </row>
    <row r="24" spans="1:11" x14ac:dyDescent="0.3">
      <c r="A24" s="3">
        <v>44586.987245370372</v>
      </c>
      <c r="B24">
        <v>-98.467308095347704</v>
      </c>
      <c r="C24">
        <v>12.6099479822958</v>
      </c>
      <c r="D24">
        <v>1522.6504249233201</v>
      </c>
      <c r="E24" s="1" t="s">
        <v>14</v>
      </c>
      <c r="F24">
        <v>9.6231165017572007</v>
      </c>
      <c r="G24">
        <v>5.2114856362328901</v>
      </c>
      <c r="H24">
        <v>7</v>
      </c>
      <c r="I24">
        <v>98</v>
      </c>
      <c r="J24" s="1" t="s">
        <v>12</v>
      </c>
      <c r="K24" s="1" t="s">
        <v>13</v>
      </c>
    </row>
    <row r="25" spans="1:11" x14ac:dyDescent="0.3">
      <c r="A25" s="3">
        <v>44587.518726851849</v>
      </c>
      <c r="B25">
        <v>-90.875820115685798</v>
      </c>
      <c r="C25">
        <v>20.0462599540528</v>
      </c>
      <c r="D25">
        <v>1212.13039725763</v>
      </c>
      <c r="E25" s="1" t="s">
        <v>16</v>
      </c>
      <c r="F25">
        <v>2.6159593615678398</v>
      </c>
      <c r="G25">
        <v>8.0529382771891704</v>
      </c>
      <c r="H25">
        <v>7</v>
      </c>
      <c r="I25">
        <v>23</v>
      </c>
      <c r="J25" s="1" t="s">
        <v>15</v>
      </c>
      <c r="K25" s="1" t="s">
        <v>17</v>
      </c>
    </row>
    <row r="26" spans="1:11" x14ac:dyDescent="0.3">
      <c r="A26" s="3">
        <v>44588.751550925925</v>
      </c>
      <c r="B26">
        <v>-69.989981477924005</v>
      </c>
      <c r="C26">
        <v>25.9904075454801</v>
      </c>
      <c r="D26">
        <v>381.22589464820197</v>
      </c>
      <c r="E26" s="1" t="s">
        <v>18</v>
      </c>
      <c r="F26">
        <v>2.4427395319416201</v>
      </c>
      <c r="G26">
        <v>7.1185606955353196</v>
      </c>
      <c r="H26">
        <v>6</v>
      </c>
      <c r="I26">
        <v>94</v>
      </c>
      <c r="J26" s="1" t="s">
        <v>15</v>
      </c>
      <c r="K26" s="1" t="s">
        <v>13</v>
      </c>
    </row>
    <row r="27" spans="1:11" x14ac:dyDescent="0.3">
      <c r="A27" s="3">
        <v>44589.408622685187</v>
      </c>
      <c r="B27">
        <v>-104.26052950164301</v>
      </c>
      <c r="C27">
        <v>26.207665314169201</v>
      </c>
      <c r="D27">
        <v>1260.8300650435799</v>
      </c>
      <c r="E27" s="1" t="s">
        <v>18</v>
      </c>
      <c r="F27">
        <v>4.34636257256604</v>
      </c>
      <c r="G27">
        <v>3.9325685073654699</v>
      </c>
      <c r="H27">
        <v>9</v>
      </c>
      <c r="I27">
        <v>88</v>
      </c>
      <c r="J27" s="1" t="s">
        <v>15</v>
      </c>
      <c r="K27" s="1" t="s">
        <v>17</v>
      </c>
    </row>
    <row r="28" spans="1:11" x14ac:dyDescent="0.3">
      <c r="A28" s="3">
        <v>44590.879479166666</v>
      </c>
      <c r="B28">
        <v>-75.856058044801799</v>
      </c>
      <c r="C28">
        <v>16.635219372857001</v>
      </c>
      <c r="D28">
        <v>1352.41657535629</v>
      </c>
      <c r="E28" s="1" t="s">
        <v>14</v>
      </c>
      <c r="F28">
        <v>8.0291511577039198</v>
      </c>
      <c r="G28">
        <v>1.6408789088971301</v>
      </c>
      <c r="H28">
        <v>10</v>
      </c>
      <c r="I28">
        <v>85</v>
      </c>
      <c r="J28" s="1" t="s">
        <v>12</v>
      </c>
      <c r="K28" s="1" t="s">
        <v>13</v>
      </c>
    </row>
    <row r="29" spans="1:11" x14ac:dyDescent="0.3">
      <c r="A29" s="3">
        <v>44591.428923611114</v>
      </c>
      <c r="B29">
        <v>-107.055642103382</v>
      </c>
      <c r="C29">
        <v>29.212495576490699</v>
      </c>
      <c r="D29">
        <v>1342.5736108410399</v>
      </c>
      <c r="E29" s="1" t="s">
        <v>11</v>
      </c>
      <c r="F29">
        <v>6.7132741125845401</v>
      </c>
      <c r="G29">
        <v>8.4465743707522094</v>
      </c>
      <c r="H29">
        <v>4</v>
      </c>
      <c r="I29">
        <v>17</v>
      </c>
      <c r="J29" s="1" t="s">
        <v>12</v>
      </c>
      <c r="K29" s="1" t="s">
        <v>17</v>
      </c>
    </row>
    <row r="30" spans="1:11" x14ac:dyDescent="0.3">
      <c r="A30" s="3">
        <v>44592.407430555555</v>
      </c>
      <c r="B30">
        <v>-118.243982100463</v>
      </c>
      <c r="C30">
        <v>28.492086878050799</v>
      </c>
      <c r="D30">
        <v>879.04749972259197</v>
      </c>
      <c r="E30" s="1" t="s">
        <v>16</v>
      </c>
      <c r="F30">
        <v>0.34746304512274301</v>
      </c>
      <c r="G30">
        <v>9.7858686354799094</v>
      </c>
      <c r="H30">
        <v>4</v>
      </c>
      <c r="I30">
        <v>83</v>
      </c>
      <c r="J30" s="1" t="s">
        <v>15</v>
      </c>
      <c r="K30" s="1" t="s">
        <v>17</v>
      </c>
    </row>
    <row r="31" spans="1:11" x14ac:dyDescent="0.3">
      <c r="A31" s="3">
        <v>44593.621712962966</v>
      </c>
      <c r="B31">
        <v>-72.442702041296997</v>
      </c>
      <c r="C31">
        <v>13.058615219522601</v>
      </c>
      <c r="D31">
        <v>1203.86200479135</v>
      </c>
      <c r="E31" s="1" t="s">
        <v>18</v>
      </c>
      <c r="F31">
        <v>7.6775391850311996</v>
      </c>
      <c r="G31">
        <v>2.1802041121013098</v>
      </c>
      <c r="H31">
        <v>10</v>
      </c>
      <c r="I31">
        <v>11</v>
      </c>
      <c r="J31" s="1" t="s">
        <v>12</v>
      </c>
      <c r="K31" s="1" t="s">
        <v>17</v>
      </c>
    </row>
    <row r="32" spans="1:11" x14ac:dyDescent="0.3">
      <c r="A32" s="3">
        <v>44594.875439814816</v>
      </c>
      <c r="B32">
        <v>-75.037625898447402</v>
      </c>
      <c r="C32">
        <v>29.515160243709001</v>
      </c>
      <c r="D32">
        <v>1219.15169238869</v>
      </c>
      <c r="E32" s="1" t="s">
        <v>18</v>
      </c>
      <c r="F32">
        <v>3.4103343999705</v>
      </c>
      <c r="G32">
        <v>8.2878222403599793</v>
      </c>
      <c r="H32">
        <v>8</v>
      </c>
      <c r="I32">
        <v>94</v>
      </c>
      <c r="J32" s="1" t="s">
        <v>12</v>
      </c>
      <c r="K32" s="1" t="s">
        <v>13</v>
      </c>
    </row>
    <row r="33" spans="1:11" x14ac:dyDescent="0.3">
      <c r="A33" s="3">
        <v>44595.743668981479</v>
      </c>
      <c r="B33">
        <v>-101.145320910237</v>
      </c>
      <c r="C33">
        <v>14.028889143503401</v>
      </c>
      <c r="D33">
        <v>1100.3926665428301</v>
      </c>
      <c r="E33" s="1" t="s">
        <v>11</v>
      </c>
      <c r="F33">
        <v>5.3652218530278803</v>
      </c>
      <c r="G33">
        <v>5.2340564400026004</v>
      </c>
      <c r="H33">
        <v>2</v>
      </c>
      <c r="I33">
        <v>48</v>
      </c>
      <c r="J33" s="1" t="s">
        <v>12</v>
      </c>
      <c r="K33" s="1" t="s">
        <v>13</v>
      </c>
    </row>
    <row r="34" spans="1:11" x14ac:dyDescent="0.3">
      <c r="A34" s="3">
        <v>44596.847013888888</v>
      </c>
      <c r="B34">
        <v>-82.249617910647601</v>
      </c>
      <c r="C34">
        <v>22.244022449726099</v>
      </c>
      <c r="D34">
        <v>1388.02021170438</v>
      </c>
      <c r="E34" s="1" t="s">
        <v>16</v>
      </c>
      <c r="F34">
        <v>0.95336062259216303</v>
      </c>
      <c r="G34">
        <v>2.9979880718236802</v>
      </c>
      <c r="H34">
        <v>8</v>
      </c>
      <c r="I34">
        <v>50</v>
      </c>
      <c r="J34" s="1" t="s">
        <v>15</v>
      </c>
      <c r="K34" s="1" t="s">
        <v>13</v>
      </c>
    </row>
    <row r="35" spans="1:11" x14ac:dyDescent="0.3">
      <c r="A35" s="3">
        <v>44597.492986111109</v>
      </c>
      <c r="B35">
        <v>-74.3576280884364</v>
      </c>
      <c r="C35">
        <v>17.115283248785001</v>
      </c>
      <c r="D35">
        <v>1274.60214774464</v>
      </c>
      <c r="E35" s="1" t="s">
        <v>14</v>
      </c>
      <c r="F35">
        <v>5.6745041060253296</v>
      </c>
      <c r="G35">
        <v>1.29410852654535</v>
      </c>
      <c r="H35">
        <v>10</v>
      </c>
      <c r="I35">
        <v>38</v>
      </c>
      <c r="J35" s="1" t="s">
        <v>12</v>
      </c>
      <c r="K35" s="1" t="s">
        <v>13</v>
      </c>
    </row>
    <row r="36" spans="1:11" x14ac:dyDescent="0.3">
      <c r="A36" s="3">
        <v>44598.553912037038</v>
      </c>
      <c r="B36">
        <v>-101.52635007015699</v>
      </c>
      <c r="C36">
        <v>16.1967572796501</v>
      </c>
      <c r="D36">
        <v>82.7998687801486</v>
      </c>
      <c r="E36" s="1" t="s">
        <v>11</v>
      </c>
      <c r="F36">
        <v>10.0811263773129</v>
      </c>
      <c r="G36">
        <v>1.1799149099164199</v>
      </c>
      <c r="H36">
        <v>10</v>
      </c>
      <c r="I36">
        <v>43</v>
      </c>
      <c r="J36" s="1" t="s">
        <v>12</v>
      </c>
      <c r="K36" s="1" t="s">
        <v>13</v>
      </c>
    </row>
    <row r="37" spans="1:11" x14ac:dyDescent="0.3">
      <c r="A37" s="3">
        <v>44599.588090277779</v>
      </c>
      <c r="B37">
        <v>-77.371503936817405</v>
      </c>
      <c r="C37">
        <v>19.3317251799375</v>
      </c>
      <c r="D37">
        <v>802.24297501489195</v>
      </c>
      <c r="E37" s="1" t="s">
        <v>11</v>
      </c>
      <c r="F37">
        <v>10.801319976957201</v>
      </c>
      <c r="G37">
        <v>9.9164959450230992</v>
      </c>
      <c r="H37">
        <v>1</v>
      </c>
      <c r="I37">
        <v>52</v>
      </c>
      <c r="J37" s="1" t="s">
        <v>12</v>
      </c>
      <c r="K37" s="1" t="s">
        <v>17</v>
      </c>
    </row>
    <row r="38" spans="1:11" x14ac:dyDescent="0.3">
      <c r="A38" s="3">
        <v>44600.763414351852</v>
      </c>
      <c r="B38">
        <v>-61.198388282269597</v>
      </c>
      <c r="C38">
        <v>22.807500635432898</v>
      </c>
      <c r="D38">
        <v>1186.6786012815901</v>
      </c>
      <c r="E38" s="1" t="s">
        <v>14</v>
      </c>
      <c r="F38">
        <v>5.7375413256014101</v>
      </c>
      <c r="G38">
        <v>5.1838310154955902</v>
      </c>
      <c r="H38">
        <v>9</v>
      </c>
      <c r="I38">
        <v>55</v>
      </c>
      <c r="J38" s="1" t="s">
        <v>12</v>
      </c>
      <c r="K38" s="1" t="s">
        <v>13</v>
      </c>
    </row>
    <row r="39" spans="1:11" x14ac:dyDescent="0.3">
      <c r="A39" s="3">
        <v>44601.777546296296</v>
      </c>
      <c r="B39">
        <v>-73.692772484632201</v>
      </c>
      <c r="C39">
        <v>27.6361340485354</v>
      </c>
      <c r="D39">
        <v>144.33900567016099</v>
      </c>
      <c r="E39" s="1" t="s">
        <v>14</v>
      </c>
      <c r="F39">
        <v>5.6056651926616201</v>
      </c>
      <c r="G39">
        <v>2.7326937898061101</v>
      </c>
      <c r="H39">
        <v>10</v>
      </c>
      <c r="I39">
        <v>69</v>
      </c>
      <c r="J39" s="1" t="s">
        <v>15</v>
      </c>
      <c r="K39" s="1" t="s">
        <v>13</v>
      </c>
    </row>
    <row r="40" spans="1:11" x14ac:dyDescent="0.3">
      <c r="A40" s="3">
        <v>44602.525138888886</v>
      </c>
      <c r="B40">
        <v>-101.16083838561801</v>
      </c>
      <c r="C40">
        <v>25.369369451296201</v>
      </c>
      <c r="D40">
        <v>1016.41250164827</v>
      </c>
      <c r="E40" s="1" t="s">
        <v>11</v>
      </c>
      <c r="F40">
        <v>8.5173092468609894</v>
      </c>
      <c r="G40">
        <v>8.1620185019484506</v>
      </c>
      <c r="H40">
        <v>3</v>
      </c>
      <c r="I40">
        <v>75</v>
      </c>
      <c r="J40" s="1" t="s">
        <v>12</v>
      </c>
      <c r="K40" s="1" t="s">
        <v>13</v>
      </c>
    </row>
    <row r="41" spans="1:11" x14ac:dyDescent="0.3">
      <c r="A41" s="3">
        <v>44603.840925925928</v>
      </c>
      <c r="B41">
        <v>-88.904163999693594</v>
      </c>
      <c r="C41">
        <v>21.722730997248998</v>
      </c>
      <c r="D41">
        <v>848.76542217671295</v>
      </c>
      <c r="E41" s="1" t="s">
        <v>14</v>
      </c>
      <c r="F41">
        <v>6.6880745267463597</v>
      </c>
      <c r="G41">
        <v>4.4317581474537703E-2</v>
      </c>
      <c r="H41">
        <v>2</v>
      </c>
      <c r="I41">
        <v>22</v>
      </c>
      <c r="J41" s="1" t="s">
        <v>12</v>
      </c>
      <c r="K41" s="1" t="s">
        <v>17</v>
      </c>
    </row>
    <row r="42" spans="1:11" x14ac:dyDescent="0.3">
      <c r="A42" s="3">
        <v>44604.70685185185</v>
      </c>
      <c r="B42">
        <v>-91.099208555624102</v>
      </c>
      <c r="C42">
        <v>22.1709769933701</v>
      </c>
      <c r="D42">
        <v>1586.3382980507899</v>
      </c>
      <c r="E42" s="1" t="s">
        <v>18</v>
      </c>
      <c r="F42">
        <v>3.1302071507539302</v>
      </c>
      <c r="G42">
        <v>3.0951288232226499</v>
      </c>
      <c r="H42">
        <v>7</v>
      </c>
      <c r="I42">
        <v>65</v>
      </c>
      <c r="J42" s="1" t="s">
        <v>15</v>
      </c>
      <c r="K42" s="1" t="s">
        <v>13</v>
      </c>
    </row>
    <row r="43" spans="1:11" x14ac:dyDescent="0.3">
      <c r="A43" s="3">
        <v>44605.42150462963</v>
      </c>
      <c r="B43">
        <v>-95.380488844043597</v>
      </c>
      <c r="C43">
        <v>28.456054902588399</v>
      </c>
      <c r="D43">
        <v>1736.68297987952</v>
      </c>
      <c r="E43" s="1" t="s">
        <v>11</v>
      </c>
      <c r="F43">
        <v>14.481916729552699</v>
      </c>
      <c r="G43">
        <v>5.1871839916645204</v>
      </c>
      <c r="H43">
        <v>6</v>
      </c>
      <c r="I43">
        <v>62</v>
      </c>
      <c r="J43" s="1" t="s">
        <v>12</v>
      </c>
      <c r="K43" s="1" t="s">
        <v>17</v>
      </c>
    </row>
    <row r="44" spans="1:11" x14ac:dyDescent="0.3">
      <c r="A44" s="3">
        <v>44606.894780092596</v>
      </c>
      <c r="B44">
        <v>-100.46909253434499</v>
      </c>
      <c r="C44">
        <v>10.683836611039</v>
      </c>
      <c r="D44">
        <v>444.90103955163602</v>
      </c>
      <c r="E44" s="1" t="s">
        <v>11</v>
      </c>
      <c r="F44">
        <v>14.5639063576268</v>
      </c>
      <c r="G44">
        <v>0.87009109842897603</v>
      </c>
      <c r="H44">
        <v>7</v>
      </c>
      <c r="I44">
        <v>97</v>
      </c>
      <c r="J44" s="1" t="s">
        <v>12</v>
      </c>
      <c r="K44" s="1" t="s">
        <v>17</v>
      </c>
    </row>
    <row r="45" spans="1:11" x14ac:dyDescent="0.3">
      <c r="A45" s="3">
        <v>44607.811631944445</v>
      </c>
      <c r="B45">
        <v>-81.371239217319101</v>
      </c>
      <c r="C45">
        <v>16.8480059580865</v>
      </c>
      <c r="D45">
        <v>233.762817151181</v>
      </c>
      <c r="E45" s="1" t="s">
        <v>18</v>
      </c>
      <c r="F45">
        <v>7.7718991476090702</v>
      </c>
      <c r="G45">
        <v>5.0830376185255197</v>
      </c>
      <c r="H45">
        <v>8</v>
      </c>
      <c r="I45">
        <v>44</v>
      </c>
      <c r="J45" s="1" t="s">
        <v>15</v>
      </c>
      <c r="K45" s="1" t="s">
        <v>13</v>
      </c>
    </row>
    <row r="46" spans="1:11" x14ac:dyDescent="0.3">
      <c r="A46" s="3">
        <v>44608.908043981479</v>
      </c>
      <c r="B46">
        <v>-88.393745084362706</v>
      </c>
      <c r="C46">
        <v>29.3257676475524</v>
      </c>
      <c r="D46">
        <v>1029.85034541865</v>
      </c>
      <c r="E46" s="1" t="s">
        <v>11</v>
      </c>
      <c r="F46">
        <v>6.4457119596360402</v>
      </c>
      <c r="G46">
        <v>9.5745197229759604</v>
      </c>
      <c r="H46">
        <v>10</v>
      </c>
      <c r="I46">
        <v>59</v>
      </c>
      <c r="J46" s="1" t="s">
        <v>12</v>
      </c>
      <c r="K46" s="1" t="s">
        <v>17</v>
      </c>
    </row>
    <row r="47" spans="1:11" x14ac:dyDescent="0.3">
      <c r="A47" s="3">
        <v>44609.976446759261</v>
      </c>
      <c r="B47">
        <v>-86.024470065884799</v>
      </c>
      <c r="C47">
        <v>13.7216840225132</v>
      </c>
      <c r="D47">
        <v>669.867353692591</v>
      </c>
      <c r="E47" s="1" t="s">
        <v>18</v>
      </c>
      <c r="F47">
        <v>6.4873834551617904</v>
      </c>
      <c r="G47">
        <v>9.7917141684580393</v>
      </c>
      <c r="H47">
        <v>6</v>
      </c>
      <c r="I47">
        <v>46</v>
      </c>
      <c r="J47" s="1" t="s">
        <v>15</v>
      </c>
      <c r="K47" s="1" t="s">
        <v>17</v>
      </c>
    </row>
    <row r="48" spans="1:11" x14ac:dyDescent="0.3">
      <c r="A48" s="3">
        <v>44610.58394675926</v>
      </c>
      <c r="B48">
        <v>-78.150988875500602</v>
      </c>
      <c r="C48">
        <v>19.621374639206799</v>
      </c>
      <c r="D48">
        <v>308.51792156899802</v>
      </c>
      <c r="E48" s="1" t="s">
        <v>11</v>
      </c>
      <c r="F48">
        <v>11.0612980087105</v>
      </c>
      <c r="G48">
        <v>1.5262072458399101</v>
      </c>
      <c r="H48">
        <v>9</v>
      </c>
      <c r="I48">
        <v>5</v>
      </c>
      <c r="J48" s="1" t="s">
        <v>15</v>
      </c>
      <c r="K48" s="1" t="s">
        <v>17</v>
      </c>
    </row>
    <row r="49" spans="1:11" x14ac:dyDescent="0.3">
      <c r="A49" s="3">
        <v>44611.467013888891</v>
      </c>
      <c r="B49">
        <v>-85.229985930823702</v>
      </c>
      <c r="C49">
        <v>18.632744157591102</v>
      </c>
      <c r="D49">
        <v>1681.26138317202</v>
      </c>
      <c r="E49" s="1" t="s">
        <v>11</v>
      </c>
      <c r="F49">
        <v>6.1760705405776504</v>
      </c>
      <c r="G49">
        <v>8.4670184455255804</v>
      </c>
      <c r="H49">
        <v>2</v>
      </c>
      <c r="I49">
        <v>56</v>
      </c>
      <c r="J49" s="1" t="s">
        <v>15</v>
      </c>
      <c r="K49" s="1" t="s">
        <v>13</v>
      </c>
    </row>
    <row r="50" spans="1:11" x14ac:dyDescent="0.3">
      <c r="A50" s="3">
        <v>44612.914525462962</v>
      </c>
      <c r="B50">
        <v>-66.343286306392699</v>
      </c>
      <c r="C50">
        <v>18.749503698603299</v>
      </c>
      <c r="D50">
        <v>1228.47216944099</v>
      </c>
      <c r="E50" s="1" t="s">
        <v>18</v>
      </c>
      <c r="F50">
        <v>6.6588328329227897</v>
      </c>
      <c r="G50">
        <v>2.4185979191620302</v>
      </c>
      <c r="H50">
        <v>5</v>
      </c>
      <c r="I50">
        <v>70</v>
      </c>
      <c r="J50" s="1" t="s">
        <v>15</v>
      </c>
      <c r="K50" s="1" t="s">
        <v>13</v>
      </c>
    </row>
    <row r="51" spans="1:11" x14ac:dyDescent="0.3">
      <c r="A51" s="3">
        <v>44613.498356481483</v>
      </c>
      <c r="B51">
        <v>-76.102174189444</v>
      </c>
      <c r="C51">
        <v>16.753993657736501</v>
      </c>
      <c r="D51">
        <v>990.76439254115303</v>
      </c>
      <c r="E51" s="1" t="s">
        <v>18</v>
      </c>
      <c r="F51">
        <v>6.7735534483260098</v>
      </c>
      <c r="G51">
        <v>3.22484316104654</v>
      </c>
      <c r="H51">
        <v>5</v>
      </c>
      <c r="I51">
        <v>63</v>
      </c>
      <c r="J51" s="1" t="s">
        <v>12</v>
      </c>
      <c r="K51" s="1" t="s">
        <v>17</v>
      </c>
    </row>
    <row r="52" spans="1:11" x14ac:dyDescent="0.3">
      <c r="A52" s="3">
        <v>44614.572025462963</v>
      </c>
      <c r="B52">
        <v>-78.311075016663807</v>
      </c>
      <c r="C52">
        <v>11.646870826394</v>
      </c>
      <c r="D52">
        <v>238.009977582803</v>
      </c>
      <c r="E52" s="1" t="s">
        <v>18</v>
      </c>
      <c r="F52">
        <v>3.16858172090584</v>
      </c>
      <c r="G52">
        <v>3.0462751713749601</v>
      </c>
      <c r="H52">
        <v>9</v>
      </c>
      <c r="I52">
        <v>68</v>
      </c>
      <c r="J52" s="1" t="s">
        <v>15</v>
      </c>
      <c r="K52" s="1" t="s">
        <v>17</v>
      </c>
    </row>
    <row r="53" spans="1:11" x14ac:dyDescent="0.3">
      <c r="A53" s="3">
        <v>44615.423356481479</v>
      </c>
      <c r="B53">
        <v>-61.205566531499201</v>
      </c>
      <c r="C53">
        <v>11.973081499727501</v>
      </c>
      <c r="D53">
        <v>1355.85110256198</v>
      </c>
      <c r="E53" s="1" t="s">
        <v>16</v>
      </c>
      <c r="F53">
        <v>1.1624505737760999</v>
      </c>
      <c r="G53">
        <v>6.8174645822445799</v>
      </c>
      <c r="H53">
        <v>5</v>
      </c>
      <c r="I53">
        <v>61</v>
      </c>
      <c r="J53" s="1" t="s">
        <v>12</v>
      </c>
      <c r="K53" s="1" t="s">
        <v>17</v>
      </c>
    </row>
    <row r="54" spans="1:11" x14ac:dyDescent="0.3">
      <c r="A54" s="3">
        <v>44616.800335648149</v>
      </c>
      <c r="B54">
        <v>-98.424558821113294</v>
      </c>
      <c r="C54">
        <v>24.771415599612599</v>
      </c>
      <c r="D54">
        <v>438.67682915730302</v>
      </c>
      <c r="E54" s="1" t="s">
        <v>18</v>
      </c>
      <c r="F54">
        <v>3.2059340181337301</v>
      </c>
      <c r="G54">
        <v>0.92683020131560701</v>
      </c>
      <c r="H54">
        <v>4</v>
      </c>
      <c r="I54">
        <v>71</v>
      </c>
      <c r="J54" s="1" t="s">
        <v>15</v>
      </c>
      <c r="K54" s="1" t="s">
        <v>17</v>
      </c>
    </row>
    <row r="55" spans="1:11" x14ac:dyDescent="0.3">
      <c r="A55" s="3">
        <v>44617.952627314815</v>
      </c>
      <c r="B55">
        <v>-102.32830312723701</v>
      </c>
      <c r="C55">
        <v>27.268350270112801</v>
      </c>
      <c r="D55">
        <v>1229.17354539344</v>
      </c>
      <c r="E55" s="1" t="s">
        <v>11</v>
      </c>
      <c r="F55">
        <v>10.6469407566175</v>
      </c>
      <c r="G55">
        <v>8.1237818049495907</v>
      </c>
      <c r="H55">
        <v>7</v>
      </c>
      <c r="I55">
        <v>93</v>
      </c>
      <c r="J55" s="1" t="s">
        <v>12</v>
      </c>
      <c r="K55" s="1" t="s">
        <v>17</v>
      </c>
    </row>
    <row r="56" spans="1:11" x14ac:dyDescent="0.3">
      <c r="A56" s="3">
        <v>44618.435925925929</v>
      </c>
      <c r="B56">
        <v>-59.474517865928</v>
      </c>
      <c r="C56">
        <v>21.862114589011</v>
      </c>
      <c r="D56">
        <v>17.5220782051546</v>
      </c>
      <c r="E56" s="1" t="s">
        <v>16</v>
      </c>
      <c r="F56">
        <v>0.251384042686912</v>
      </c>
      <c r="G56">
        <v>3.51328748093648</v>
      </c>
      <c r="H56">
        <v>7</v>
      </c>
      <c r="I56">
        <v>93</v>
      </c>
      <c r="J56" s="1" t="s">
        <v>15</v>
      </c>
      <c r="K56" s="1" t="s">
        <v>13</v>
      </c>
    </row>
    <row r="57" spans="1:11" x14ac:dyDescent="0.3">
      <c r="A57" s="3">
        <v>44619.608865740738</v>
      </c>
      <c r="B57">
        <v>-98.849205120906007</v>
      </c>
      <c r="C57">
        <v>29.009157101545899</v>
      </c>
      <c r="D57">
        <v>325.55996000162003</v>
      </c>
      <c r="E57" s="1" t="s">
        <v>14</v>
      </c>
      <c r="F57">
        <v>6.8466135999291096</v>
      </c>
      <c r="G57">
        <v>5.5887835061290403</v>
      </c>
      <c r="H57">
        <v>10</v>
      </c>
      <c r="I57">
        <v>68</v>
      </c>
      <c r="J57" s="1" t="s">
        <v>12</v>
      </c>
      <c r="K57" s="1" t="s">
        <v>17</v>
      </c>
    </row>
    <row r="58" spans="1:11" x14ac:dyDescent="0.3">
      <c r="A58" s="3">
        <v>44620.614930555559</v>
      </c>
      <c r="B58">
        <v>-104.77613166997</v>
      </c>
      <c r="C58">
        <v>25.8191957662725</v>
      </c>
      <c r="D58">
        <v>701.45108807428198</v>
      </c>
      <c r="E58" s="1" t="s">
        <v>18</v>
      </c>
      <c r="F58">
        <v>5.7192000989094902</v>
      </c>
      <c r="G58">
        <v>8.5899092117676705</v>
      </c>
      <c r="H58">
        <v>5</v>
      </c>
      <c r="I58">
        <v>28</v>
      </c>
      <c r="J58" s="1" t="s">
        <v>12</v>
      </c>
      <c r="K58" s="1" t="s">
        <v>13</v>
      </c>
    </row>
    <row r="59" spans="1:11" x14ac:dyDescent="0.3">
      <c r="A59" s="3">
        <v>44621.688842592594</v>
      </c>
      <c r="B59">
        <v>-60.806165620495499</v>
      </c>
      <c r="C59">
        <v>10.9153248431361</v>
      </c>
      <c r="D59">
        <v>347.16857686498003</v>
      </c>
      <c r="E59" s="1" t="s">
        <v>14</v>
      </c>
      <c r="F59">
        <v>9.5099967866966395</v>
      </c>
      <c r="G59">
        <v>1.1757566864658899</v>
      </c>
      <c r="H59">
        <v>5</v>
      </c>
      <c r="I59">
        <v>89</v>
      </c>
      <c r="J59" s="1" t="s">
        <v>12</v>
      </c>
      <c r="K59" s="1" t="s">
        <v>13</v>
      </c>
    </row>
    <row r="60" spans="1:11" x14ac:dyDescent="0.3">
      <c r="A60" s="3">
        <v>44622.752615740741</v>
      </c>
      <c r="B60">
        <v>-88.722158616289306</v>
      </c>
      <c r="C60">
        <v>17.9538745025102</v>
      </c>
      <c r="D60">
        <v>1776.09491983937</v>
      </c>
      <c r="E60" s="1" t="s">
        <v>11</v>
      </c>
      <c r="F60">
        <v>9.0300055455578399</v>
      </c>
      <c r="G60">
        <v>9.5953016229223493</v>
      </c>
      <c r="H60">
        <v>7</v>
      </c>
      <c r="I60">
        <v>55</v>
      </c>
      <c r="J60" s="1" t="s">
        <v>12</v>
      </c>
      <c r="K60" s="1" t="s">
        <v>17</v>
      </c>
    </row>
    <row r="61" spans="1:11" x14ac:dyDescent="0.3">
      <c r="A61" s="3">
        <v>44623.807800925926</v>
      </c>
      <c r="B61">
        <v>-83.727231668493204</v>
      </c>
      <c r="C61">
        <v>21.078569980065001</v>
      </c>
      <c r="D61">
        <v>661.57708128318097</v>
      </c>
      <c r="E61" s="1" t="s">
        <v>18</v>
      </c>
      <c r="F61">
        <v>5.3508085503241896</v>
      </c>
      <c r="G61">
        <v>6.4055686051626397</v>
      </c>
      <c r="H61">
        <v>8</v>
      </c>
      <c r="I61">
        <v>13</v>
      </c>
      <c r="J61" s="1" t="s">
        <v>12</v>
      </c>
      <c r="K61" s="1" t="s">
        <v>17</v>
      </c>
    </row>
    <row r="62" spans="1:11" x14ac:dyDescent="0.3">
      <c r="A62" s="3">
        <v>44624.663078703707</v>
      </c>
      <c r="B62">
        <v>-62.020504198666501</v>
      </c>
      <c r="C62">
        <v>10.823249706403301</v>
      </c>
      <c r="D62">
        <v>707.18055730925505</v>
      </c>
      <c r="E62" s="1" t="s">
        <v>14</v>
      </c>
      <c r="F62">
        <v>7.0797090152166398</v>
      </c>
      <c r="G62">
        <v>4.6557297574568004</v>
      </c>
      <c r="H62">
        <v>10</v>
      </c>
      <c r="I62">
        <v>86</v>
      </c>
      <c r="J62" s="1" t="s">
        <v>15</v>
      </c>
      <c r="K62" s="1" t="s">
        <v>13</v>
      </c>
    </row>
    <row r="63" spans="1:11" x14ac:dyDescent="0.3">
      <c r="A63" s="3">
        <v>44625.906006944446</v>
      </c>
      <c r="B63">
        <v>-88.879303431101704</v>
      </c>
      <c r="C63">
        <v>17.581208931985099</v>
      </c>
      <c r="D63">
        <v>692.23873179435896</v>
      </c>
      <c r="E63" s="1" t="s">
        <v>18</v>
      </c>
      <c r="F63">
        <v>7.8705687495573304</v>
      </c>
      <c r="G63">
        <v>8.6243975709029108</v>
      </c>
      <c r="H63">
        <v>6</v>
      </c>
      <c r="I63">
        <v>85</v>
      </c>
      <c r="J63" s="1" t="s">
        <v>12</v>
      </c>
      <c r="K63" s="1" t="s">
        <v>17</v>
      </c>
    </row>
    <row r="64" spans="1:11" x14ac:dyDescent="0.3">
      <c r="A64" s="3">
        <v>44626.485381944447</v>
      </c>
      <c r="B64">
        <v>-69.038675078788003</v>
      </c>
      <c r="C64">
        <v>16.586848378051201</v>
      </c>
      <c r="D64">
        <v>1059.89791910896</v>
      </c>
      <c r="E64" s="1" t="s">
        <v>18</v>
      </c>
      <c r="F64">
        <v>4.6231260257036002</v>
      </c>
      <c r="G64">
        <v>4.5314941885670397</v>
      </c>
      <c r="H64">
        <v>6</v>
      </c>
      <c r="I64">
        <v>75</v>
      </c>
      <c r="J64" s="1" t="s">
        <v>15</v>
      </c>
      <c r="K64" s="1" t="s">
        <v>13</v>
      </c>
    </row>
    <row r="65" spans="1:11" x14ac:dyDescent="0.3">
      <c r="A65" s="3">
        <v>44627.439236111109</v>
      </c>
      <c r="B65">
        <v>-92.964027415951406</v>
      </c>
      <c r="C65">
        <v>20.327047269259801</v>
      </c>
      <c r="D65">
        <v>502.69690332129397</v>
      </c>
      <c r="E65" s="1" t="s">
        <v>14</v>
      </c>
      <c r="F65">
        <v>2.1355330196813598</v>
      </c>
      <c r="G65">
        <v>4.2461369114826004</v>
      </c>
      <c r="H65">
        <v>6</v>
      </c>
      <c r="I65">
        <v>79</v>
      </c>
      <c r="J65" s="1" t="s">
        <v>15</v>
      </c>
      <c r="K65" s="1" t="s">
        <v>13</v>
      </c>
    </row>
    <row r="66" spans="1:11" x14ac:dyDescent="0.3">
      <c r="A66" s="3">
        <v>44628.606435185182</v>
      </c>
      <c r="B66">
        <v>-100.57761893232799</v>
      </c>
      <c r="C66">
        <v>19.547174090574298</v>
      </c>
      <c r="D66">
        <v>535.99164306248997</v>
      </c>
      <c r="E66" s="1" t="s">
        <v>11</v>
      </c>
      <c r="F66">
        <v>7.8986501655741002</v>
      </c>
      <c r="G66">
        <v>4.0278417925441898</v>
      </c>
      <c r="H66">
        <v>5</v>
      </c>
      <c r="I66">
        <v>35</v>
      </c>
      <c r="J66" s="1" t="s">
        <v>15</v>
      </c>
      <c r="K66" s="1" t="s">
        <v>13</v>
      </c>
    </row>
    <row r="67" spans="1:11" x14ac:dyDescent="0.3">
      <c r="A67" s="3">
        <v>44629.890520833331</v>
      </c>
      <c r="B67">
        <v>-99.297041673326902</v>
      </c>
      <c r="C67">
        <v>14.378146839543801</v>
      </c>
      <c r="D67">
        <v>685.468257260531</v>
      </c>
      <c r="E67" s="1" t="s">
        <v>16</v>
      </c>
      <c r="F67">
        <v>0.117904032905948</v>
      </c>
      <c r="G67">
        <v>1.9804259464751499</v>
      </c>
      <c r="H67">
        <v>4</v>
      </c>
      <c r="I67">
        <v>55</v>
      </c>
      <c r="J67" s="1" t="s">
        <v>12</v>
      </c>
      <c r="K67" s="1" t="s">
        <v>13</v>
      </c>
    </row>
    <row r="68" spans="1:11" x14ac:dyDescent="0.3">
      <c r="A68" s="3">
        <v>44630.97016203704</v>
      </c>
      <c r="B68">
        <v>-97.260725992243906</v>
      </c>
      <c r="C68">
        <v>11.688332196953599</v>
      </c>
      <c r="D68">
        <v>1116.7430736629201</v>
      </c>
      <c r="E68" s="1" t="s">
        <v>18</v>
      </c>
      <c r="F68">
        <v>3.9553849523384201</v>
      </c>
      <c r="G68">
        <v>8.4389620500070404</v>
      </c>
      <c r="H68">
        <v>1</v>
      </c>
      <c r="I68">
        <v>42</v>
      </c>
      <c r="J68" s="1" t="s">
        <v>15</v>
      </c>
      <c r="K68" s="1" t="s">
        <v>17</v>
      </c>
    </row>
    <row r="69" spans="1:11" x14ac:dyDescent="0.3">
      <c r="A69" s="3">
        <v>44631.64303240741</v>
      </c>
      <c r="B69">
        <v>-93.001808677434497</v>
      </c>
      <c r="C69">
        <v>22.0127234999633</v>
      </c>
      <c r="D69">
        <v>1105.4184630856601</v>
      </c>
      <c r="E69" s="1" t="s">
        <v>14</v>
      </c>
      <c r="F69">
        <v>3.51800630436873</v>
      </c>
      <c r="G69">
        <v>7.8275263525845604</v>
      </c>
      <c r="H69">
        <v>7</v>
      </c>
      <c r="I69">
        <v>2</v>
      </c>
      <c r="J69" s="1" t="s">
        <v>12</v>
      </c>
      <c r="K69" s="1" t="s">
        <v>13</v>
      </c>
    </row>
    <row r="70" spans="1:11" x14ac:dyDescent="0.3">
      <c r="A70" s="3">
        <v>44632.804097222222</v>
      </c>
      <c r="B70">
        <v>-69.387736018650799</v>
      </c>
      <c r="C70">
        <v>23.001914056781199</v>
      </c>
      <c r="D70">
        <v>257.13347100732398</v>
      </c>
      <c r="E70" s="1" t="s">
        <v>16</v>
      </c>
      <c r="F70">
        <v>4.6057070632743899</v>
      </c>
      <c r="G70">
        <v>0.48514002967367298</v>
      </c>
      <c r="H70">
        <v>6</v>
      </c>
      <c r="I70">
        <v>54</v>
      </c>
      <c r="J70" s="1" t="s">
        <v>12</v>
      </c>
      <c r="K70" s="1" t="s">
        <v>13</v>
      </c>
    </row>
    <row r="71" spans="1:11" x14ac:dyDescent="0.3">
      <c r="A71" s="3">
        <v>44633.919641203705</v>
      </c>
      <c r="B71">
        <v>-82.622762029967205</v>
      </c>
      <c r="C71">
        <v>19.866866226307401</v>
      </c>
      <c r="D71">
        <v>1142.4170681195999</v>
      </c>
      <c r="E71" s="1" t="s">
        <v>18</v>
      </c>
      <c r="F71">
        <v>3.97846303847014</v>
      </c>
      <c r="G71">
        <v>6.9588261137361496</v>
      </c>
      <c r="H71">
        <v>2</v>
      </c>
      <c r="I71">
        <v>62</v>
      </c>
      <c r="J71" s="1" t="s">
        <v>15</v>
      </c>
      <c r="K71" s="1" t="s">
        <v>13</v>
      </c>
    </row>
    <row r="72" spans="1:11" x14ac:dyDescent="0.3">
      <c r="A72" s="3">
        <v>44634.780277777776</v>
      </c>
      <c r="B72">
        <v>-91.539538792768695</v>
      </c>
      <c r="C72">
        <v>23.828536979876699</v>
      </c>
      <c r="D72">
        <v>940.72493402504995</v>
      </c>
      <c r="E72" s="1" t="s">
        <v>16</v>
      </c>
      <c r="F72">
        <v>0.87106488449892905</v>
      </c>
      <c r="G72">
        <v>2.6374590815460001E-2</v>
      </c>
      <c r="H72">
        <v>4</v>
      </c>
      <c r="I72">
        <v>72</v>
      </c>
      <c r="J72" s="1" t="s">
        <v>12</v>
      </c>
      <c r="K72" s="1" t="s">
        <v>13</v>
      </c>
    </row>
    <row r="73" spans="1:11" x14ac:dyDescent="0.3">
      <c r="A73" s="3">
        <v>44635.46429398148</v>
      </c>
      <c r="B73">
        <v>-88.640953946518593</v>
      </c>
      <c r="C73">
        <v>17.013463617151402</v>
      </c>
      <c r="D73">
        <v>655.33854799581297</v>
      </c>
      <c r="E73" s="1" t="s">
        <v>11</v>
      </c>
      <c r="F73">
        <v>13.7355783217659</v>
      </c>
      <c r="G73">
        <v>1.0461685089250401</v>
      </c>
      <c r="H73">
        <v>8</v>
      </c>
      <c r="I73">
        <v>78</v>
      </c>
      <c r="J73" s="1" t="s">
        <v>12</v>
      </c>
      <c r="K73" s="1" t="s">
        <v>17</v>
      </c>
    </row>
    <row r="74" spans="1:11" x14ac:dyDescent="0.3">
      <c r="A74" s="3">
        <v>44636.442986111113</v>
      </c>
      <c r="B74">
        <v>-92.457498681069794</v>
      </c>
      <c r="C74">
        <v>12.6712261495835</v>
      </c>
      <c r="D74">
        <v>892.02207604363696</v>
      </c>
      <c r="E74" s="1" t="s">
        <v>11</v>
      </c>
      <c r="F74">
        <v>11.1931024249847</v>
      </c>
      <c r="G74">
        <v>8.83793661794709</v>
      </c>
      <c r="H74">
        <v>2</v>
      </c>
      <c r="I74">
        <v>98</v>
      </c>
      <c r="J74" s="1" t="s">
        <v>12</v>
      </c>
      <c r="K74" s="1" t="s">
        <v>13</v>
      </c>
    </row>
    <row r="75" spans="1:11" x14ac:dyDescent="0.3">
      <c r="A75" s="3">
        <v>44637.589259259257</v>
      </c>
      <c r="B75">
        <v>-71.929835013830598</v>
      </c>
      <c r="C75">
        <v>21.466823084059602</v>
      </c>
      <c r="D75">
        <v>1517.5707759234799</v>
      </c>
      <c r="E75" s="1" t="s">
        <v>14</v>
      </c>
      <c r="F75">
        <v>7.0388392708936598E-2</v>
      </c>
      <c r="G75">
        <v>7.1853337176457597</v>
      </c>
      <c r="H75">
        <v>8</v>
      </c>
      <c r="I75">
        <v>78</v>
      </c>
      <c r="J75" s="1" t="s">
        <v>12</v>
      </c>
      <c r="K75" s="1" t="s">
        <v>17</v>
      </c>
    </row>
    <row r="76" spans="1:11" x14ac:dyDescent="0.3">
      <c r="A76" s="3">
        <v>44638.412627314814</v>
      </c>
      <c r="B76">
        <v>-86.539831732868095</v>
      </c>
      <c r="C76">
        <v>17.692693360231701</v>
      </c>
      <c r="D76">
        <v>557.17631184375705</v>
      </c>
      <c r="E76" s="1" t="s">
        <v>14</v>
      </c>
      <c r="F76">
        <v>5.4231289721551397</v>
      </c>
      <c r="G76">
        <v>3.7609749419000802</v>
      </c>
      <c r="H76">
        <v>3</v>
      </c>
      <c r="I76">
        <v>81</v>
      </c>
      <c r="J76" s="1" t="s">
        <v>12</v>
      </c>
      <c r="K76" s="1" t="s">
        <v>13</v>
      </c>
    </row>
    <row r="77" spans="1:11" x14ac:dyDescent="0.3">
      <c r="A77" s="3">
        <v>44639.870104166665</v>
      </c>
      <c r="B77">
        <v>-107.757300211494</v>
      </c>
      <c r="C77">
        <v>21.380414043647299</v>
      </c>
      <c r="D77">
        <v>1763.06569186516</v>
      </c>
      <c r="E77" s="1" t="s">
        <v>11</v>
      </c>
      <c r="F77">
        <v>10.679573945416299</v>
      </c>
      <c r="G77">
        <v>6.0810708530528501</v>
      </c>
      <c r="H77">
        <v>3</v>
      </c>
      <c r="I77">
        <v>28</v>
      </c>
      <c r="J77" s="1" t="s">
        <v>12</v>
      </c>
      <c r="K77" s="1" t="s">
        <v>13</v>
      </c>
    </row>
    <row r="78" spans="1:11" x14ac:dyDescent="0.3">
      <c r="A78" s="3">
        <v>44640.907893518517</v>
      </c>
      <c r="B78">
        <v>-97.619228448861193</v>
      </c>
      <c r="C78">
        <v>19.192166262772901</v>
      </c>
      <c r="D78">
        <v>465.30723325788398</v>
      </c>
      <c r="E78" s="1" t="s">
        <v>14</v>
      </c>
      <c r="F78">
        <v>4.4341109299522099</v>
      </c>
      <c r="G78">
        <v>4.6746545260612802</v>
      </c>
      <c r="H78">
        <v>6</v>
      </c>
      <c r="I78">
        <v>64</v>
      </c>
      <c r="J78" s="1" t="s">
        <v>15</v>
      </c>
      <c r="K78" s="1" t="s">
        <v>13</v>
      </c>
    </row>
    <row r="79" spans="1:11" x14ac:dyDescent="0.3">
      <c r="A79" s="3">
        <v>44641.490960648145</v>
      </c>
      <c r="B79">
        <v>-104.138485486658</v>
      </c>
      <c r="C79">
        <v>21.4042825795519</v>
      </c>
      <c r="D79">
        <v>1297.6040106768701</v>
      </c>
      <c r="E79" s="1" t="s">
        <v>18</v>
      </c>
      <c r="F79">
        <v>7.1357528105423604</v>
      </c>
      <c r="G79">
        <v>6.67371126163449</v>
      </c>
      <c r="H79">
        <v>6</v>
      </c>
      <c r="I79">
        <v>36</v>
      </c>
      <c r="J79" s="1" t="s">
        <v>15</v>
      </c>
      <c r="K79" s="1" t="s">
        <v>13</v>
      </c>
    </row>
    <row r="80" spans="1:11" x14ac:dyDescent="0.3">
      <c r="A80" s="3">
        <v>44642.961284722223</v>
      </c>
      <c r="B80">
        <v>-81.374547392828305</v>
      </c>
      <c r="C80">
        <v>19.584328384380299</v>
      </c>
      <c r="D80">
        <v>1164.2132402073801</v>
      </c>
      <c r="E80" s="1" t="s">
        <v>14</v>
      </c>
      <c r="F80">
        <v>1.7433921403402599</v>
      </c>
      <c r="G80">
        <v>8.0783402988243402</v>
      </c>
      <c r="H80">
        <v>2</v>
      </c>
      <c r="I80">
        <v>28</v>
      </c>
      <c r="J80" s="1" t="s">
        <v>15</v>
      </c>
      <c r="K80" s="1" t="s">
        <v>13</v>
      </c>
    </row>
    <row r="81" spans="1:11" x14ac:dyDescent="0.3">
      <c r="A81" s="3">
        <v>44643.390277777777</v>
      </c>
      <c r="B81">
        <v>-65.733584286847901</v>
      </c>
      <c r="C81">
        <v>22.826935875764899</v>
      </c>
      <c r="D81">
        <v>1289.07619490241</v>
      </c>
      <c r="E81" s="1" t="s">
        <v>16</v>
      </c>
      <c r="F81">
        <v>4.3485787519193497</v>
      </c>
      <c r="G81">
        <v>4.2881559722820697</v>
      </c>
      <c r="H81">
        <v>7</v>
      </c>
      <c r="I81">
        <v>3</v>
      </c>
      <c r="J81" s="1" t="s">
        <v>12</v>
      </c>
      <c r="K81" s="1" t="s">
        <v>17</v>
      </c>
    </row>
    <row r="82" spans="1:11" x14ac:dyDescent="0.3">
      <c r="A82" s="3">
        <v>44644.673668981479</v>
      </c>
      <c r="B82">
        <v>-81.339853904121995</v>
      </c>
      <c r="C82">
        <v>24.592112642173198</v>
      </c>
      <c r="D82">
        <v>337.78536409144198</v>
      </c>
      <c r="E82" s="1" t="s">
        <v>11</v>
      </c>
      <c r="F82">
        <v>9.5312110710481495</v>
      </c>
      <c r="G82">
        <v>3.47684780949796</v>
      </c>
      <c r="H82">
        <v>5</v>
      </c>
      <c r="I82">
        <v>65</v>
      </c>
      <c r="J82" s="1" t="s">
        <v>15</v>
      </c>
      <c r="K82" s="1" t="s">
        <v>13</v>
      </c>
    </row>
    <row r="83" spans="1:11" x14ac:dyDescent="0.3">
      <c r="A83" s="3">
        <v>44645.43273148148</v>
      </c>
      <c r="B83">
        <v>-82.6314361335358</v>
      </c>
      <c r="C83">
        <v>22.514611271366199</v>
      </c>
      <c r="D83">
        <v>285.40593592318203</v>
      </c>
      <c r="E83" s="1" t="s">
        <v>14</v>
      </c>
      <c r="F83">
        <v>0.50206215178933999</v>
      </c>
      <c r="G83">
        <v>4.8079636756401296</v>
      </c>
      <c r="H83">
        <v>5</v>
      </c>
      <c r="I83">
        <v>74</v>
      </c>
      <c r="J83" s="1" t="s">
        <v>12</v>
      </c>
      <c r="K83" s="1" t="s">
        <v>17</v>
      </c>
    </row>
    <row r="84" spans="1:11" x14ac:dyDescent="0.3">
      <c r="A84" s="3">
        <v>44646.823495370372</v>
      </c>
      <c r="B84">
        <v>-74.792180402227601</v>
      </c>
      <c r="C84">
        <v>21.8200139683244</v>
      </c>
      <c r="D84">
        <v>1610.6360363961201</v>
      </c>
      <c r="E84" s="1" t="s">
        <v>14</v>
      </c>
      <c r="F84">
        <v>9.2051877341402708</v>
      </c>
      <c r="G84">
        <v>0.83333938553050702</v>
      </c>
      <c r="H84">
        <v>2</v>
      </c>
      <c r="I84">
        <v>24</v>
      </c>
      <c r="J84" s="1" t="s">
        <v>12</v>
      </c>
      <c r="K84" s="1" t="s">
        <v>17</v>
      </c>
    </row>
    <row r="85" spans="1:11" x14ac:dyDescent="0.3">
      <c r="A85" s="3">
        <v>44647.759143518517</v>
      </c>
      <c r="B85">
        <v>-82.601217722390203</v>
      </c>
      <c r="C85">
        <v>11.8513449547309</v>
      </c>
      <c r="D85">
        <v>262.63550544459503</v>
      </c>
      <c r="E85" s="1" t="s">
        <v>16</v>
      </c>
      <c r="F85">
        <v>1.67383589739002</v>
      </c>
      <c r="G85">
        <v>3.0554406600328199</v>
      </c>
      <c r="H85">
        <v>2</v>
      </c>
      <c r="I85">
        <v>2</v>
      </c>
      <c r="J85" s="1" t="s">
        <v>12</v>
      </c>
      <c r="K85" s="1" t="s">
        <v>17</v>
      </c>
    </row>
    <row r="86" spans="1:11" x14ac:dyDescent="0.3">
      <c r="A86" s="3">
        <v>44648.565717592595</v>
      </c>
      <c r="B86">
        <v>-93.133901221280297</v>
      </c>
      <c r="C86">
        <v>15.9499003177758</v>
      </c>
      <c r="D86">
        <v>165.71090922690999</v>
      </c>
      <c r="E86" s="1" t="s">
        <v>11</v>
      </c>
      <c r="F86">
        <v>8.3267428593458508</v>
      </c>
      <c r="G86">
        <v>6.5190619273040999</v>
      </c>
      <c r="H86">
        <v>8</v>
      </c>
      <c r="I86">
        <v>31</v>
      </c>
      <c r="J86" s="1" t="s">
        <v>15</v>
      </c>
      <c r="K86" s="1" t="s">
        <v>17</v>
      </c>
    </row>
    <row r="87" spans="1:11" x14ac:dyDescent="0.3">
      <c r="A87" s="3">
        <v>44649.693009259259</v>
      </c>
      <c r="B87">
        <v>-76.373473338392699</v>
      </c>
      <c r="C87">
        <v>21.777187520198201</v>
      </c>
      <c r="D87">
        <v>40.0936755271143</v>
      </c>
      <c r="E87" s="1" t="s">
        <v>16</v>
      </c>
      <c r="F87">
        <v>4.4468686398732604</v>
      </c>
      <c r="G87">
        <v>5.9844458411567301</v>
      </c>
      <c r="H87">
        <v>8</v>
      </c>
      <c r="I87">
        <v>89</v>
      </c>
      <c r="J87" s="1" t="s">
        <v>12</v>
      </c>
      <c r="K87" s="1" t="s">
        <v>17</v>
      </c>
    </row>
    <row r="88" spans="1:11" x14ac:dyDescent="0.3">
      <c r="A88" s="3">
        <v>44650.530462962961</v>
      </c>
      <c r="B88">
        <v>-61.225317298416101</v>
      </c>
      <c r="C88">
        <v>20.902030826299399</v>
      </c>
      <c r="D88">
        <v>556.783053633588</v>
      </c>
      <c r="E88" s="1" t="s">
        <v>14</v>
      </c>
      <c r="F88">
        <v>7.1563682798736403</v>
      </c>
      <c r="G88">
        <v>0.52818691352637803</v>
      </c>
      <c r="H88">
        <v>10</v>
      </c>
      <c r="I88">
        <v>57</v>
      </c>
      <c r="J88" s="1" t="s">
        <v>15</v>
      </c>
      <c r="K88" s="1" t="s">
        <v>17</v>
      </c>
    </row>
    <row r="89" spans="1:11" x14ac:dyDescent="0.3">
      <c r="A89" s="3">
        <v>44651.498668981483</v>
      </c>
      <c r="B89">
        <v>-99.341625622622601</v>
      </c>
      <c r="C89">
        <v>14.182132549729801</v>
      </c>
      <c r="D89">
        <v>707.81860811688796</v>
      </c>
      <c r="E89" s="1" t="s">
        <v>16</v>
      </c>
      <c r="F89">
        <v>3.5890694780927399</v>
      </c>
      <c r="G89">
        <v>8.5042116837455399</v>
      </c>
      <c r="H89">
        <v>7</v>
      </c>
      <c r="I89">
        <v>50</v>
      </c>
      <c r="J89" s="1" t="s">
        <v>15</v>
      </c>
      <c r="K89" s="1" t="s">
        <v>17</v>
      </c>
    </row>
    <row r="90" spans="1:11" x14ac:dyDescent="0.3">
      <c r="A90" s="3">
        <v>44652.398078703707</v>
      </c>
      <c r="B90">
        <v>-101.815438569899</v>
      </c>
      <c r="C90">
        <v>12.3317850945228</v>
      </c>
      <c r="D90">
        <v>110.15712089456299</v>
      </c>
      <c r="E90" s="1" t="s">
        <v>18</v>
      </c>
      <c r="F90">
        <v>2.3874126801220399</v>
      </c>
      <c r="G90">
        <v>7.6109419384930099</v>
      </c>
      <c r="H90">
        <v>10</v>
      </c>
      <c r="I90">
        <v>78</v>
      </c>
      <c r="J90" s="1" t="s">
        <v>12</v>
      </c>
      <c r="K90" s="1" t="s">
        <v>17</v>
      </c>
    </row>
    <row r="91" spans="1:11" x14ac:dyDescent="0.3">
      <c r="A91" s="3">
        <v>44653.794293981482</v>
      </c>
      <c r="B91">
        <v>-60.573040098274198</v>
      </c>
      <c r="C91">
        <v>21.741169351598899</v>
      </c>
      <c r="D91">
        <v>822.95459841002298</v>
      </c>
      <c r="E91" s="1" t="s">
        <v>14</v>
      </c>
      <c r="F91">
        <v>8.0255063651852705</v>
      </c>
      <c r="G91">
        <v>2.4400147379292401</v>
      </c>
      <c r="H91">
        <v>3</v>
      </c>
      <c r="I91">
        <v>81</v>
      </c>
      <c r="J91" s="1" t="s">
        <v>15</v>
      </c>
      <c r="K91" s="1" t="s">
        <v>17</v>
      </c>
    </row>
    <row r="92" spans="1:11" x14ac:dyDescent="0.3">
      <c r="A92" s="3">
        <v>44654.45103009259</v>
      </c>
      <c r="B92">
        <v>-89.368982412175697</v>
      </c>
      <c r="C92">
        <v>25.999935507300101</v>
      </c>
      <c r="D92">
        <v>854.28098779349205</v>
      </c>
      <c r="E92" s="1" t="s">
        <v>14</v>
      </c>
      <c r="F92">
        <v>6.6735766408862904</v>
      </c>
      <c r="G92">
        <v>7.1304670049349896</v>
      </c>
      <c r="H92">
        <v>5</v>
      </c>
      <c r="I92">
        <v>51</v>
      </c>
      <c r="J92" s="1" t="s">
        <v>12</v>
      </c>
      <c r="K92" s="1" t="s">
        <v>17</v>
      </c>
    </row>
    <row r="93" spans="1:11" x14ac:dyDescent="0.3">
      <c r="A93" s="3">
        <v>44655.782638888886</v>
      </c>
      <c r="B93">
        <v>-101.738417210905</v>
      </c>
      <c r="C93">
        <v>29.413417967439599</v>
      </c>
      <c r="D93">
        <v>1193.30551909479</v>
      </c>
      <c r="E93" s="1" t="s">
        <v>11</v>
      </c>
      <c r="F93">
        <v>5.3334813379235904</v>
      </c>
      <c r="G93">
        <v>5.6656378867806696</v>
      </c>
      <c r="H93">
        <v>4</v>
      </c>
      <c r="I93">
        <v>14</v>
      </c>
      <c r="J93" s="1" t="s">
        <v>15</v>
      </c>
      <c r="K93" s="1" t="s">
        <v>17</v>
      </c>
    </row>
    <row r="94" spans="1:11" x14ac:dyDescent="0.3">
      <c r="A94" s="3">
        <v>44656.624837962961</v>
      </c>
      <c r="B94">
        <v>-98.877490543153698</v>
      </c>
      <c r="C94">
        <v>28.212142285440599</v>
      </c>
      <c r="D94">
        <v>235.83937089868701</v>
      </c>
      <c r="E94" s="1" t="s">
        <v>14</v>
      </c>
      <c r="F94">
        <v>5.4780682201720401</v>
      </c>
      <c r="G94">
        <v>0.42904829305072201</v>
      </c>
      <c r="H94">
        <v>10</v>
      </c>
      <c r="I94">
        <v>7</v>
      </c>
      <c r="J94" s="1" t="s">
        <v>15</v>
      </c>
      <c r="K94" s="1" t="s">
        <v>17</v>
      </c>
    </row>
    <row r="95" spans="1:11" x14ac:dyDescent="0.3">
      <c r="A95" s="3">
        <v>44657.936203703706</v>
      </c>
      <c r="B95">
        <v>-101.658053673113</v>
      </c>
      <c r="C95">
        <v>25.8256321161657</v>
      </c>
      <c r="D95">
        <v>364.18341530477898</v>
      </c>
      <c r="E95" s="1" t="s">
        <v>18</v>
      </c>
      <c r="F95">
        <v>2.0042664690743601</v>
      </c>
      <c r="G95">
        <v>5.5762142642137</v>
      </c>
      <c r="H95">
        <v>2</v>
      </c>
      <c r="I95">
        <v>37</v>
      </c>
      <c r="J95" s="1" t="s">
        <v>15</v>
      </c>
      <c r="K95" s="1" t="s">
        <v>13</v>
      </c>
    </row>
    <row r="96" spans="1:11" x14ac:dyDescent="0.3">
      <c r="A96" s="3">
        <v>44658.659687500003</v>
      </c>
      <c r="B96">
        <v>-73.275166199307094</v>
      </c>
      <c r="C96">
        <v>25.700853318683301</v>
      </c>
      <c r="D96">
        <v>1554.7049101002699</v>
      </c>
      <c r="E96" s="1" t="s">
        <v>14</v>
      </c>
      <c r="F96">
        <v>3.90158791737566</v>
      </c>
      <c r="G96">
        <v>4.8632010290302699</v>
      </c>
      <c r="H96">
        <v>3</v>
      </c>
      <c r="I96">
        <v>40</v>
      </c>
      <c r="J96" s="1" t="s">
        <v>12</v>
      </c>
      <c r="K96" s="1" t="s">
        <v>13</v>
      </c>
    </row>
    <row r="97" spans="1:11" x14ac:dyDescent="0.3">
      <c r="A97" s="3">
        <v>44659.934247685182</v>
      </c>
      <c r="B97">
        <v>-96.827836501310003</v>
      </c>
      <c r="C97">
        <v>26.600636448305298</v>
      </c>
      <c r="D97">
        <v>724.95001482008502</v>
      </c>
      <c r="E97" s="1" t="s">
        <v>18</v>
      </c>
      <c r="F97">
        <v>3.1064403491213501</v>
      </c>
      <c r="G97">
        <v>8.9012311318497801</v>
      </c>
      <c r="H97">
        <v>2</v>
      </c>
      <c r="I97">
        <v>92</v>
      </c>
      <c r="J97" s="1" t="s">
        <v>12</v>
      </c>
      <c r="K97" s="1" t="s">
        <v>17</v>
      </c>
    </row>
    <row r="98" spans="1:11" x14ac:dyDescent="0.3">
      <c r="A98" s="3">
        <v>44660.610300925924</v>
      </c>
      <c r="B98">
        <v>-77.528820264604505</v>
      </c>
      <c r="C98">
        <v>24.400241673822201</v>
      </c>
      <c r="D98">
        <v>1136.8628702368801</v>
      </c>
      <c r="E98" s="1" t="s">
        <v>11</v>
      </c>
      <c r="F98">
        <v>7.1412450402960301</v>
      </c>
      <c r="G98">
        <v>2.14836775999331</v>
      </c>
      <c r="H98">
        <v>2</v>
      </c>
      <c r="I98">
        <v>24</v>
      </c>
      <c r="J98" s="1" t="s">
        <v>12</v>
      </c>
      <c r="K98" s="1" t="s">
        <v>17</v>
      </c>
    </row>
    <row r="99" spans="1:11" x14ac:dyDescent="0.3">
      <c r="A99" s="3">
        <v>44661.596689814818</v>
      </c>
      <c r="B99">
        <v>-60.736138259707097</v>
      </c>
      <c r="C99">
        <v>14.3214495842775</v>
      </c>
      <c r="D99">
        <v>478.26797634820701</v>
      </c>
      <c r="E99" s="1" t="s">
        <v>16</v>
      </c>
      <c r="F99">
        <v>4.6729351984292196</v>
      </c>
      <c r="G99">
        <v>1.4251760775850399</v>
      </c>
      <c r="H99">
        <v>9</v>
      </c>
      <c r="I99">
        <v>86</v>
      </c>
      <c r="J99" s="1" t="s">
        <v>12</v>
      </c>
      <c r="K99" s="1" t="s">
        <v>13</v>
      </c>
    </row>
    <row r="100" spans="1:11" x14ac:dyDescent="0.3">
      <c r="A100" s="3">
        <v>44662.436574074076</v>
      </c>
      <c r="B100">
        <v>-98.043378471965298</v>
      </c>
      <c r="C100">
        <v>19.391700203705799</v>
      </c>
      <c r="D100">
        <v>1128.4759075305501</v>
      </c>
      <c r="E100" s="1" t="s">
        <v>18</v>
      </c>
      <c r="F100">
        <v>3.60012533080425</v>
      </c>
      <c r="G100">
        <v>3.70022949382499</v>
      </c>
      <c r="H100">
        <v>9</v>
      </c>
      <c r="I100">
        <v>35</v>
      </c>
      <c r="J100" s="1" t="s">
        <v>15</v>
      </c>
      <c r="K100" s="1" t="s">
        <v>13</v>
      </c>
    </row>
    <row r="101" spans="1:11" x14ac:dyDescent="0.3">
      <c r="A101" s="3">
        <v>44663.502268518518</v>
      </c>
      <c r="B101">
        <v>-95.645111493815094</v>
      </c>
      <c r="C101">
        <v>13.4468848708542</v>
      </c>
      <c r="D101">
        <v>241.08877017416901</v>
      </c>
      <c r="E101" s="1" t="s">
        <v>16</v>
      </c>
      <c r="F101">
        <v>1.6627762037117</v>
      </c>
      <c r="G101">
        <v>8.3532521342016395</v>
      </c>
      <c r="H101">
        <v>10</v>
      </c>
      <c r="I101">
        <v>45</v>
      </c>
      <c r="J101" s="1" t="s">
        <v>15</v>
      </c>
      <c r="K101" s="1" t="s">
        <v>13</v>
      </c>
    </row>
    <row r="102" spans="1:11" x14ac:dyDescent="0.3">
      <c r="A102" s="3">
        <v>44664.727662037039</v>
      </c>
      <c r="B102">
        <v>-84.296509842371506</v>
      </c>
      <c r="C102">
        <v>27.074460751633399</v>
      </c>
      <c r="D102">
        <v>362.100192701335</v>
      </c>
      <c r="E102" s="1" t="s">
        <v>11</v>
      </c>
      <c r="F102">
        <v>6.4527428650885597</v>
      </c>
      <c r="G102">
        <v>5.9039768119854701</v>
      </c>
      <c r="H102">
        <v>5</v>
      </c>
      <c r="I102">
        <v>23</v>
      </c>
      <c r="J102" s="1" t="s">
        <v>12</v>
      </c>
      <c r="K102" s="1" t="s">
        <v>17</v>
      </c>
    </row>
    <row r="103" spans="1:11" x14ac:dyDescent="0.3">
      <c r="A103" s="3">
        <v>44665.836469907408</v>
      </c>
      <c r="B103">
        <v>-64.033804785355599</v>
      </c>
      <c r="C103">
        <v>22.906430857467502</v>
      </c>
      <c r="D103">
        <v>1259.9100500849499</v>
      </c>
      <c r="E103" s="1" t="s">
        <v>14</v>
      </c>
      <c r="F103">
        <v>0.30671741366236599</v>
      </c>
      <c r="G103">
        <v>3.6209390708031801</v>
      </c>
      <c r="H103">
        <v>2</v>
      </c>
      <c r="I103">
        <v>88</v>
      </c>
      <c r="J103" s="1" t="s">
        <v>12</v>
      </c>
      <c r="K103" s="1" t="s">
        <v>17</v>
      </c>
    </row>
    <row r="104" spans="1:11" x14ac:dyDescent="0.3">
      <c r="A104" s="3">
        <v>44666.387152777781</v>
      </c>
      <c r="B104">
        <v>-98.740206282791902</v>
      </c>
      <c r="C104">
        <v>14.7003793457376</v>
      </c>
      <c r="D104">
        <v>608.49255360896495</v>
      </c>
      <c r="E104" s="1" t="s">
        <v>16</v>
      </c>
      <c r="F104">
        <v>0.27737157617477598</v>
      </c>
      <c r="G104">
        <v>5.4445835677469701</v>
      </c>
      <c r="H104">
        <v>4</v>
      </c>
      <c r="I104">
        <v>65</v>
      </c>
      <c r="J104" s="1" t="s">
        <v>12</v>
      </c>
      <c r="K104" s="1" t="s">
        <v>17</v>
      </c>
    </row>
    <row r="105" spans="1:11" x14ac:dyDescent="0.3">
      <c r="A105" s="3">
        <v>44667.417291666665</v>
      </c>
      <c r="B105">
        <v>-57.991548168585197</v>
      </c>
      <c r="C105">
        <v>13.9748999288484</v>
      </c>
      <c r="D105">
        <v>1639.7686683859799</v>
      </c>
      <c r="E105" s="1" t="s">
        <v>16</v>
      </c>
      <c r="F105">
        <v>3.1229597663466802</v>
      </c>
      <c r="G105">
        <v>6.7499665686333596</v>
      </c>
      <c r="H105">
        <v>3</v>
      </c>
      <c r="I105">
        <v>1</v>
      </c>
      <c r="J105" s="1" t="s">
        <v>12</v>
      </c>
      <c r="K105" s="1" t="s">
        <v>13</v>
      </c>
    </row>
    <row r="106" spans="1:11" x14ac:dyDescent="0.3">
      <c r="A106" s="3">
        <v>44668.966574074075</v>
      </c>
      <c r="B106">
        <v>-76.736592855279696</v>
      </c>
      <c r="C106">
        <v>23.144619862292799</v>
      </c>
      <c r="D106">
        <v>919.43341419972</v>
      </c>
      <c r="E106" s="1" t="s">
        <v>18</v>
      </c>
      <c r="F106">
        <v>6.7509543293572198</v>
      </c>
      <c r="G106">
        <v>8.7557138576881997</v>
      </c>
      <c r="H106">
        <v>5</v>
      </c>
      <c r="I106">
        <v>99</v>
      </c>
      <c r="J106" s="1" t="s">
        <v>12</v>
      </c>
      <c r="K106" s="1" t="s">
        <v>13</v>
      </c>
    </row>
    <row r="107" spans="1:11" x14ac:dyDescent="0.3">
      <c r="A107" s="3">
        <v>44669.835543981484</v>
      </c>
      <c r="B107">
        <v>-69.652376647191005</v>
      </c>
      <c r="C107">
        <v>27.3477074254304</v>
      </c>
      <c r="D107">
        <v>1759.8345699979</v>
      </c>
      <c r="E107" s="1" t="s">
        <v>14</v>
      </c>
      <c r="F107">
        <v>6.4825406652422801</v>
      </c>
      <c r="G107">
        <v>2.9545349520959401</v>
      </c>
      <c r="H107">
        <v>7</v>
      </c>
      <c r="I107">
        <v>38</v>
      </c>
      <c r="J107" s="1" t="s">
        <v>12</v>
      </c>
      <c r="K107" s="1" t="s">
        <v>13</v>
      </c>
    </row>
    <row r="108" spans="1:11" x14ac:dyDescent="0.3">
      <c r="A108" s="3">
        <v>44670.818981481483</v>
      </c>
      <c r="B108">
        <v>-111.569018822751</v>
      </c>
      <c r="C108">
        <v>16.556455225124299</v>
      </c>
      <c r="D108">
        <v>522.40173208927001</v>
      </c>
      <c r="E108" s="1" t="s">
        <v>16</v>
      </c>
      <c r="F108">
        <v>3.1313725599229798</v>
      </c>
      <c r="G108">
        <v>0.51607180513996198</v>
      </c>
      <c r="H108">
        <v>5</v>
      </c>
      <c r="I108">
        <v>10</v>
      </c>
      <c r="J108" s="1" t="s">
        <v>15</v>
      </c>
      <c r="K108" s="1" t="s">
        <v>13</v>
      </c>
    </row>
    <row r="109" spans="1:11" x14ac:dyDescent="0.3">
      <c r="A109" s="3">
        <v>44671.767696759256</v>
      </c>
      <c r="B109">
        <v>-79.680165957077406</v>
      </c>
      <c r="C109">
        <v>28.091547752407799</v>
      </c>
      <c r="D109">
        <v>793.49891810614497</v>
      </c>
      <c r="E109" s="1" t="s">
        <v>18</v>
      </c>
      <c r="F109">
        <v>6.6875485585907803</v>
      </c>
      <c r="G109">
        <v>4.5747774664234999</v>
      </c>
      <c r="H109">
        <v>3</v>
      </c>
      <c r="I109">
        <v>69</v>
      </c>
      <c r="J109" s="1" t="s">
        <v>15</v>
      </c>
      <c r="K109" s="1" t="s">
        <v>13</v>
      </c>
    </row>
    <row r="110" spans="1:11" x14ac:dyDescent="0.3">
      <c r="A110" s="3">
        <v>44672.645555555559</v>
      </c>
      <c r="B110">
        <v>-81.448844884042302</v>
      </c>
      <c r="C110">
        <v>12.673076746555401</v>
      </c>
      <c r="D110">
        <v>171.46277020262201</v>
      </c>
      <c r="E110" s="1" t="s">
        <v>11</v>
      </c>
      <c r="F110">
        <v>13.403373952246</v>
      </c>
      <c r="G110">
        <v>4.3975784911869402</v>
      </c>
      <c r="H110">
        <v>3</v>
      </c>
      <c r="I110">
        <v>73</v>
      </c>
      <c r="J110" s="1" t="s">
        <v>12</v>
      </c>
      <c r="K110" s="1" t="s">
        <v>17</v>
      </c>
    </row>
    <row r="111" spans="1:11" x14ac:dyDescent="0.3">
      <c r="A111" s="3">
        <v>44673.816504629627</v>
      </c>
      <c r="B111">
        <v>-79.995892162925998</v>
      </c>
      <c r="C111">
        <v>13.475090687620099</v>
      </c>
      <c r="D111">
        <v>235.98126768132099</v>
      </c>
      <c r="E111" s="1" t="s">
        <v>18</v>
      </c>
      <c r="F111">
        <v>3.4394130303430699</v>
      </c>
      <c r="G111">
        <v>3.6451171061447298</v>
      </c>
      <c r="H111">
        <v>2</v>
      </c>
      <c r="I111">
        <v>66</v>
      </c>
      <c r="J111" s="1" t="s">
        <v>15</v>
      </c>
      <c r="K111" s="1" t="s">
        <v>17</v>
      </c>
    </row>
    <row r="112" spans="1:11" x14ac:dyDescent="0.3">
      <c r="A112" s="3">
        <v>44674.731215277781</v>
      </c>
      <c r="B112">
        <v>-78.783383384190003</v>
      </c>
      <c r="C112">
        <v>11.650995348661199</v>
      </c>
      <c r="D112">
        <v>198.61771669906199</v>
      </c>
      <c r="E112" s="1" t="s">
        <v>14</v>
      </c>
      <c r="F112">
        <v>6.2163019290017196</v>
      </c>
      <c r="G112">
        <v>3.46976888429124</v>
      </c>
      <c r="H112">
        <v>7</v>
      </c>
      <c r="I112">
        <v>36</v>
      </c>
      <c r="J112" s="1" t="s">
        <v>15</v>
      </c>
      <c r="K112" s="1" t="s">
        <v>17</v>
      </c>
    </row>
    <row r="113" spans="1:11" x14ac:dyDescent="0.3">
      <c r="A113" s="3">
        <v>44675.780532407407</v>
      </c>
      <c r="B113">
        <v>-97.395479053449606</v>
      </c>
      <c r="C113">
        <v>16.912029042450801</v>
      </c>
      <c r="D113">
        <v>385.99624201008498</v>
      </c>
      <c r="E113" s="1" t="s">
        <v>14</v>
      </c>
      <c r="F113">
        <v>1.9393847808476601</v>
      </c>
      <c r="G113">
        <v>9.3440557381279703</v>
      </c>
      <c r="H113">
        <v>9</v>
      </c>
      <c r="I113">
        <v>53</v>
      </c>
      <c r="J113" s="1" t="s">
        <v>15</v>
      </c>
      <c r="K113" s="1" t="s">
        <v>13</v>
      </c>
    </row>
    <row r="114" spans="1:11" x14ac:dyDescent="0.3">
      <c r="A114" s="3">
        <v>44676.937326388892</v>
      </c>
      <c r="B114">
        <v>-105.76223420263101</v>
      </c>
      <c r="C114">
        <v>15.0218581498953</v>
      </c>
      <c r="D114">
        <v>1153.80064865948</v>
      </c>
      <c r="E114" s="1" t="s">
        <v>11</v>
      </c>
      <c r="F114">
        <v>8.1559770657150192</v>
      </c>
      <c r="G114">
        <v>9.7451044556272599</v>
      </c>
      <c r="H114">
        <v>6</v>
      </c>
      <c r="I114">
        <v>52</v>
      </c>
      <c r="J114" s="1" t="s">
        <v>12</v>
      </c>
      <c r="K114" s="1" t="s">
        <v>13</v>
      </c>
    </row>
    <row r="115" spans="1:11" x14ac:dyDescent="0.3">
      <c r="A115" s="3">
        <v>44677.413472222222</v>
      </c>
      <c r="B115">
        <v>-90.742821735791694</v>
      </c>
      <c r="C115">
        <v>23.342807580989898</v>
      </c>
      <c r="D115">
        <v>494.12410035607002</v>
      </c>
      <c r="E115" s="1" t="s">
        <v>11</v>
      </c>
      <c r="F115">
        <v>12.6719426133062</v>
      </c>
      <c r="G115">
        <v>1.93576673395608</v>
      </c>
      <c r="H115">
        <v>6</v>
      </c>
      <c r="I115">
        <v>5</v>
      </c>
      <c r="J115" s="1" t="s">
        <v>15</v>
      </c>
      <c r="K115" s="1" t="s">
        <v>13</v>
      </c>
    </row>
    <row r="116" spans="1:11" x14ac:dyDescent="0.3">
      <c r="A116" s="3">
        <v>44678.745428240742</v>
      </c>
      <c r="B116">
        <v>-76.069528640702401</v>
      </c>
      <c r="C116">
        <v>23.1676276354249</v>
      </c>
      <c r="D116">
        <v>975.83599518381004</v>
      </c>
      <c r="E116" s="1" t="s">
        <v>14</v>
      </c>
      <c r="F116">
        <v>0.49500367078079899</v>
      </c>
      <c r="G116">
        <v>0.80055585658134398</v>
      </c>
      <c r="H116">
        <v>7</v>
      </c>
      <c r="I116">
        <v>52</v>
      </c>
      <c r="J116" s="1" t="s">
        <v>12</v>
      </c>
      <c r="K116" s="1" t="s">
        <v>13</v>
      </c>
    </row>
    <row r="117" spans="1:11" x14ac:dyDescent="0.3">
      <c r="A117" s="3">
        <v>44679.70579861111</v>
      </c>
      <c r="B117">
        <v>-72.656677085497506</v>
      </c>
      <c r="C117">
        <v>29.963213447743598</v>
      </c>
      <c r="D117">
        <v>1137.4339928956499</v>
      </c>
      <c r="E117" s="1" t="s">
        <v>11</v>
      </c>
      <c r="F117">
        <v>9.8359785040913508</v>
      </c>
      <c r="G117">
        <v>7.74237546842296</v>
      </c>
      <c r="H117">
        <v>4</v>
      </c>
      <c r="I117">
        <v>75</v>
      </c>
      <c r="J117" s="1" t="s">
        <v>12</v>
      </c>
      <c r="K117" s="1" t="s">
        <v>17</v>
      </c>
    </row>
    <row r="118" spans="1:11" x14ac:dyDescent="0.3">
      <c r="A118" s="3">
        <v>44680.644965277781</v>
      </c>
      <c r="B118">
        <v>-84.230276290375301</v>
      </c>
      <c r="C118">
        <v>16.969642457053201</v>
      </c>
      <c r="D118">
        <v>689.42646955874397</v>
      </c>
      <c r="E118" s="1" t="s">
        <v>16</v>
      </c>
      <c r="F118">
        <v>1.14785618101535</v>
      </c>
      <c r="G118">
        <v>8.7253898580526208</v>
      </c>
      <c r="H118">
        <v>6</v>
      </c>
      <c r="I118">
        <v>53</v>
      </c>
      <c r="J118" s="1" t="s">
        <v>12</v>
      </c>
      <c r="K118" s="1" t="s">
        <v>13</v>
      </c>
    </row>
    <row r="119" spans="1:11" x14ac:dyDescent="0.3">
      <c r="A119" s="3">
        <v>44681.823055555556</v>
      </c>
      <c r="B119">
        <v>-86.953923540828995</v>
      </c>
      <c r="C119">
        <v>18.931128769281202</v>
      </c>
      <c r="D119">
        <v>1444.9565575856</v>
      </c>
      <c r="E119" s="1" t="s">
        <v>16</v>
      </c>
      <c r="F119">
        <v>3.14696057330044</v>
      </c>
      <c r="G119">
        <v>0.42334999410569701</v>
      </c>
      <c r="H119">
        <v>3</v>
      </c>
      <c r="I119">
        <v>66</v>
      </c>
      <c r="J119" s="1" t="s">
        <v>15</v>
      </c>
      <c r="K119" s="1" t="s">
        <v>13</v>
      </c>
    </row>
    <row r="120" spans="1:11" x14ac:dyDescent="0.3">
      <c r="A120" s="3">
        <v>44682.689189814817</v>
      </c>
      <c r="B120">
        <v>-60.8124416975743</v>
      </c>
      <c r="C120">
        <v>21.237175426777</v>
      </c>
      <c r="D120">
        <v>540.39699992884698</v>
      </c>
      <c r="E120" s="1" t="s">
        <v>16</v>
      </c>
      <c r="F120">
        <v>1.1391905963781801</v>
      </c>
      <c r="G120">
        <v>9.9787427755663494</v>
      </c>
      <c r="H120">
        <v>1</v>
      </c>
      <c r="I120">
        <v>13</v>
      </c>
      <c r="J120" s="1" t="s">
        <v>15</v>
      </c>
      <c r="K120" s="1" t="s">
        <v>13</v>
      </c>
    </row>
    <row r="121" spans="1:11" x14ac:dyDescent="0.3">
      <c r="A121" s="3">
        <v>44683.854178240741</v>
      </c>
      <c r="B121">
        <v>-88.382045576767595</v>
      </c>
      <c r="C121">
        <v>13.386952773387501</v>
      </c>
      <c r="D121">
        <v>157.10005535090801</v>
      </c>
      <c r="E121" s="1" t="s">
        <v>11</v>
      </c>
      <c r="F121">
        <v>6.7662545480700098</v>
      </c>
      <c r="G121">
        <v>2.70769781691176</v>
      </c>
      <c r="H121">
        <v>8</v>
      </c>
      <c r="I121">
        <v>95</v>
      </c>
      <c r="J121" s="1" t="s">
        <v>12</v>
      </c>
      <c r="K121" s="1" t="s">
        <v>13</v>
      </c>
    </row>
    <row r="122" spans="1:11" x14ac:dyDescent="0.3">
      <c r="A122" s="3">
        <v>44684.702118055553</v>
      </c>
      <c r="B122">
        <v>-97.711579681297295</v>
      </c>
      <c r="C122">
        <v>16.964323771336101</v>
      </c>
      <c r="D122">
        <v>936.26621218579896</v>
      </c>
      <c r="E122" s="1" t="s">
        <v>16</v>
      </c>
      <c r="F122">
        <v>1.4917153705569699</v>
      </c>
      <c r="G122">
        <v>7.0184214097429196</v>
      </c>
      <c r="H122">
        <v>6</v>
      </c>
      <c r="I122">
        <v>67</v>
      </c>
      <c r="J122" s="1" t="s">
        <v>15</v>
      </c>
      <c r="K122" s="1" t="s">
        <v>17</v>
      </c>
    </row>
    <row r="123" spans="1:11" x14ac:dyDescent="0.3">
      <c r="A123" s="3">
        <v>44685.752002314817</v>
      </c>
      <c r="B123">
        <v>-68.161981296612197</v>
      </c>
      <c r="C123">
        <v>11.6552135735734</v>
      </c>
      <c r="D123">
        <v>1654.4496726718301</v>
      </c>
      <c r="E123" s="1" t="s">
        <v>14</v>
      </c>
      <c r="F123">
        <v>5.9234180678102399</v>
      </c>
      <c r="G123">
        <v>8.1069067515938595</v>
      </c>
      <c r="H123">
        <v>4</v>
      </c>
      <c r="I123">
        <v>35</v>
      </c>
      <c r="J123" s="1" t="s">
        <v>15</v>
      </c>
      <c r="K123" s="1" t="s">
        <v>17</v>
      </c>
    </row>
    <row r="124" spans="1:11" x14ac:dyDescent="0.3">
      <c r="A124" s="3">
        <v>44686.810196759259</v>
      </c>
      <c r="B124">
        <v>-70.473326287539507</v>
      </c>
      <c r="C124">
        <v>27.131908655879201</v>
      </c>
      <c r="D124">
        <v>360.07757341354301</v>
      </c>
      <c r="E124" s="1" t="s">
        <v>11</v>
      </c>
      <c r="F124">
        <v>5.6698654130431896</v>
      </c>
      <c r="G124">
        <v>8.1912360349966509</v>
      </c>
      <c r="H124">
        <v>1</v>
      </c>
      <c r="I124">
        <v>30</v>
      </c>
      <c r="J124" s="1" t="s">
        <v>12</v>
      </c>
      <c r="K124" s="1" t="s">
        <v>13</v>
      </c>
    </row>
    <row r="125" spans="1:11" x14ac:dyDescent="0.3">
      <c r="A125" s="3">
        <v>44687.781134259261</v>
      </c>
      <c r="B125">
        <v>-81.202069853965</v>
      </c>
      <c r="C125">
        <v>26.7012868947815</v>
      </c>
      <c r="D125">
        <v>1655.2168121045399</v>
      </c>
      <c r="E125" s="1" t="s">
        <v>16</v>
      </c>
      <c r="F125">
        <v>3.6334643945707001</v>
      </c>
      <c r="G125">
        <v>4.7781089407743798</v>
      </c>
      <c r="H125">
        <v>1</v>
      </c>
      <c r="I125">
        <v>14</v>
      </c>
      <c r="J125" s="1" t="s">
        <v>15</v>
      </c>
      <c r="K125" s="1" t="s">
        <v>17</v>
      </c>
    </row>
    <row r="126" spans="1:11" x14ac:dyDescent="0.3">
      <c r="A126" s="3">
        <v>44688.857071759259</v>
      </c>
      <c r="B126">
        <v>-66.710577269143698</v>
      </c>
      <c r="C126">
        <v>28.4120573989665</v>
      </c>
      <c r="D126">
        <v>949.12383300311797</v>
      </c>
      <c r="E126" s="1" t="s">
        <v>18</v>
      </c>
      <c r="F126">
        <v>7.2678361742712303</v>
      </c>
      <c r="G126">
        <v>5.04592004495984</v>
      </c>
      <c r="H126">
        <v>4</v>
      </c>
      <c r="I126">
        <v>95</v>
      </c>
      <c r="J126" s="1" t="s">
        <v>12</v>
      </c>
      <c r="K126" s="1" t="s">
        <v>13</v>
      </c>
    </row>
    <row r="127" spans="1:11" x14ac:dyDescent="0.3">
      <c r="A127" s="3">
        <v>44689.58184027778</v>
      </c>
      <c r="B127">
        <v>-75.537733296496697</v>
      </c>
      <c r="C127">
        <v>27.7328653967812</v>
      </c>
      <c r="D127">
        <v>199.32269924511601</v>
      </c>
      <c r="E127" s="1" t="s">
        <v>14</v>
      </c>
      <c r="F127">
        <v>9.9556322688834396</v>
      </c>
      <c r="G127">
        <v>4.3057583900363303</v>
      </c>
      <c r="H127">
        <v>2</v>
      </c>
      <c r="I127">
        <v>63</v>
      </c>
      <c r="J127" s="1" t="s">
        <v>12</v>
      </c>
      <c r="K127" s="1" t="s">
        <v>13</v>
      </c>
    </row>
    <row r="128" spans="1:11" x14ac:dyDescent="0.3">
      <c r="A128" s="3">
        <v>44690.924189814818</v>
      </c>
      <c r="B128">
        <v>-93.659222096430398</v>
      </c>
      <c r="C128">
        <v>18.320766843069801</v>
      </c>
      <c r="D128">
        <v>565.738736267337</v>
      </c>
      <c r="E128" s="1" t="s">
        <v>18</v>
      </c>
      <c r="F128">
        <v>4.9628325113149998</v>
      </c>
      <c r="G128">
        <v>0.75288137813023404</v>
      </c>
      <c r="H128">
        <v>7</v>
      </c>
      <c r="I128">
        <v>4</v>
      </c>
      <c r="J128" s="1" t="s">
        <v>12</v>
      </c>
      <c r="K128" s="1" t="s">
        <v>13</v>
      </c>
    </row>
    <row r="129" spans="1:11" x14ac:dyDescent="0.3">
      <c r="A129" s="3">
        <v>44691.943738425929</v>
      </c>
      <c r="B129">
        <v>-66.377561965787805</v>
      </c>
      <c r="C129">
        <v>11.7343070296865</v>
      </c>
      <c r="D129">
        <v>569.64378576422996</v>
      </c>
      <c r="E129" s="1" t="s">
        <v>16</v>
      </c>
      <c r="F129">
        <v>1.26250057076407</v>
      </c>
      <c r="G129">
        <v>1.5131721830065199</v>
      </c>
      <c r="H129">
        <v>1</v>
      </c>
      <c r="I129">
        <v>90</v>
      </c>
      <c r="J129" s="1" t="s">
        <v>15</v>
      </c>
      <c r="K129" s="1" t="s">
        <v>17</v>
      </c>
    </row>
    <row r="130" spans="1:11" x14ac:dyDescent="0.3">
      <c r="A130" s="3">
        <v>44692.819745370369</v>
      </c>
      <c r="B130">
        <v>-115.25904426107</v>
      </c>
      <c r="C130">
        <v>18.884963590506899</v>
      </c>
      <c r="D130">
        <v>1406.43320841641</v>
      </c>
      <c r="E130" s="1" t="s">
        <v>16</v>
      </c>
      <c r="F130">
        <v>4.3051839833060104</v>
      </c>
      <c r="G130">
        <v>9.6057600505226901</v>
      </c>
      <c r="H130">
        <v>1</v>
      </c>
      <c r="I130">
        <v>97</v>
      </c>
      <c r="J130" s="1" t="s">
        <v>12</v>
      </c>
      <c r="K130" s="1" t="s">
        <v>17</v>
      </c>
    </row>
    <row r="131" spans="1:11" x14ac:dyDescent="0.3">
      <c r="A131" s="3">
        <v>44693.958541666667</v>
      </c>
      <c r="B131">
        <v>-69.465501665308693</v>
      </c>
      <c r="C131">
        <v>12.330209795605001</v>
      </c>
      <c r="D131">
        <v>395.41531996371498</v>
      </c>
      <c r="E131" s="1" t="s">
        <v>18</v>
      </c>
      <c r="F131">
        <v>7.0659918712028604</v>
      </c>
      <c r="G131">
        <v>5.0845490352284797</v>
      </c>
      <c r="H131">
        <v>1</v>
      </c>
      <c r="I131">
        <v>44</v>
      </c>
      <c r="J131" s="1" t="s">
        <v>12</v>
      </c>
      <c r="K131" s="1" t="s">
        <v>17</v>
      </c>
    </row>
    <row r="132" spans="1:11" x14ac:dyDescent="0.3">
      <c r="A132" s="3">
        <v>44694.803148148145</v>
      </c>
      <c r="B132">
        <v>-75.015584867560506</v>
      </c>
      <c r="C132">
        <v>12.713415489822699</v>
      </c>
      <c r="D132">
        <v>1617.82304939153</v>
      </c>
      <c r="E132" s="1" t="s">
        <v>11</v>
      </c>
      <c r="F132">
        <v>6.1283116569449003</v>
      </c>
      <c r="G132">
        <v>9.1500341461296202</v>
      </c>
      <c r="H132">
        <v>7</v>
      </c>
      <c r="I132">
        <v>6</v>
      </c>
      <c r="J132" s="1" t="s">
        <v>15</v>
      </c>
      <c r="K132" s="1" t="s">
        <v>13</v>
      </c>
    </row>
    <row r="133" spans="1:11" x14ac:dyDescent="0.3">
      <c r="A133" s="3">
        <v>44695.595775462964</v>
      </c>
      <c r="B133">
        <v>-76.881604351289198</v>
      </c>
      <c r="C133">
        <v>28.306054053979999</v>
      </c>
      <c r="D133">
        <v>1558.6560315642</v>
      </c>
      <c r="E133" s="1" t="s">
        <v>18</v>
      </c>
      <c r="F133">
        <v>3.0622240563468499</v>
      </c>
      <c r="G133">
        <v>0.13056595401379301</v>
      </c>
      <c r="H133">
        <v>4</v>
      </c>
      <c r="I133">
        <v>99</v>
      </c>
      <c r="J133" s="1" t="s">
        <v>15</v>
      </c>
      <c r="K133" s="1" t="s">
        <v>13</v>
      </c>
    </row>
    <row r="134" spans="1:11" x14ac:dyDescent="0.3">
      <c r="A134" s="3">
        <v>44696.697465277779</v>
      </c>
      <c r="B134">
        <v>-97.974458870865007</v>
      </c>
      <c r="C134">
        <v>27.082821881350899</v>
      </c>
      <c r="D134">
        <v>1732.0677679575499</v>
      </c>
      <c r="E134" s="1" t="s">
        <v>16</v>
      </c>
      <c r="F134">
        <v>2.9652350536460599</v>
      </c>
      <c r="G134">
        <v>3.1219380273698998</v>
      </c>
      <c r="H134">
        <v>7</v>
      </c>
      <c r="I134">
        <v>91</v>
      </c>
      <c r="J134" s="1" t="s">
        <v>15</v>
      </c>
      <c r="K134" s="1" t="s">
        <v>13</v>
      </c>
    </row>
    <row r="135" spans="1:11" x14ac:dyDescent="0.3">
      <c r="A135" s="3">
        <v>44697.442662037036</v>
      </c>
      <c r="B135">
        <v>-97.187740186363797</v>
      </c>
      <c r="C135">
        <v>18.971054730891598</v>
      </c>
      <c r="D135">
        <v>221.79669840711901</v>
      </c>
      <c r="E135" s="1" t="s">
        <v>11</v>
      </c>
      <c r="F135">
        <v>13.640795050447901</v>
      </c>
      <c r="G135">
        <v>7.6399436490392496</v>
      </c>
      <c r="H135">
        <v>9</v>
      </c>
      <c r="I135">
        <v>34</v>
      </c>
      <c r="J135" s="1" t="s">
        <v>15</v>
      </c>
      <c r="K135" s="1" t="s">
        <v>13</v>
      </c>
    </row>
    <row r="136" spans="1:11" x14ac:dyDescent="0.3">
      <c r="A136" s="3">
        <v>44698.864872685182</v>
      </c>
      <c r="B136">
        <v>-98.806246107094097</v>
      </c>
      <c r="C136">
        <v>11.0890711331219</v>
      </c>
      <c r="D136">
        <v>690.51928550262096</v>
      </c>
      <c r="E136" s="1" t="s">
        <v>11</v>
      </c>
      <c r="F136">
        <v>11.534570193636201</v>
      </c>
      <c r="G136">
        <v>9.8695459530821008</v>
      </c>
      <c r="H136">
        <v>2</v>
      </c>
      <c r="I136">
        <v>87</v>
      </c>
      <c r="J136" s="1" t="s">
        <v>15</v>
      </c>
      <c r="K136" s="1" t="s">
        <v>13</v>
      </c>
    </row>
    <row r="137" spans="1:11" x14ac:dyDescent="0.3">
      <c r="A137" s="3">
        <v>44699.706678240742</v>
      </c>
      <c r="B137">
        <v>-108.954401303818</v>
      </c>
      <c r="C137">
        <v>22.0618473104341</v>
      </c>
      <c r="D137">
        <v>201.044818227094</v>
      </c>
      <c r="E137" s="1" t="s">
        <v>11</v>
      </c>
      <c r="F137">
        <v>13.616903146871399</v>
      </c>
      <c r="G137">
        <v>7.4693460553676196</v>
      </c>
      <c r="H137">
        <v>2</v>
      </c>
      <c r="I137">
        <v>83</v>
      </c>
      <c r="J137" s="1" t="s">
        <v>12</v>
      </c>
      <c r="K137" s="1" t="s">
        <v>13</v>
      </c>
    </row>
    <row r="138" spans="1:11" x14ac:dyDescent="0.3">
      <c r="A138" s="3">
        <v>44700.974317129629</v>
      </c>
      <c r="B138">
        <v>-87.2517038488715</v>
      </c>
      <c r="C138">
        <v>20.675113187186401</v>
      </c>
      <c r="D138">
        <v>1715.3227827892899</v>
      </c>
      <c r="E138" s="1" t="s">
        <v>11</v>
      </c>
      <c r="F138">
        <v>12.404708299746201</v>
      </c>
      <c r="G138">
        <v>7.81205207061618</v>
      </c>
      <c r="H138">
        <v>9</v>
      </c>
      <c r="I138">
        <v>81</v>
      </c>
      <c r="J138" s="1" t="s">
        <v>15</v>
      </c>
      <c r="K138" s="1" t="s">
        <v>13</v>
      </c>
    </row>
    <row r="139" spans="1:11" x14ac:dyDescent="0.3">
      <c r="A139" s="3">
        <v>44701.825416666667</v>
      </c>
      <c r="B139">
        <v>-81.527329237291298</v>
      </c>
      <c r="C139">
        <v>27.250128336335401</v>
      </c>
      <c r="D139">
        <v>1633.67795034658</v>
      </c>
      <c r="E139" s="1" t="s">
        <v>14</v>
      </c>
      <c r="F139">
        <v>7.9044959078565604</v>
      </c>
      <c r="G139">
        <v>5.4793881420950399</v>
      </c>
      <c r="H139">
        <v>7</v>
      </c>
      <c r="I139">
        <v>47</v>
      </c>
      <c r="J139" s="1" t="s">
        <v>12</v>
      </c>
      <c r="K139" s="1" t="s">
        <v>13</v>
      </c>
    </row>
    <row r="140" spans="1:11" x14ac:dyDescent="0.3">
      <c r="A140" s="3">
        <v>44702.38548611111</v>
      </c>
      <c r="B140">
        <v>-90.179147899157599</v>
      </c>
      <c r="C140">
        <v>13.574310246886901</v>
      </c>
      <c r="D140">
        <v>1697.97953915419</v>
      </c>
      <c r="E140" s="1" t="s">
        <v>11</v>
      </c>
      <c r="F140">
        <v>13.469249782022599</v>
      </c>
      <c r="G140">
        <v>8.6696059998527009</v>
      </c>
      <c r="H140">
        <v>8</v>
      </c>
      <c r="I140">
        <v>78</v>
      </c>
      <c r="J140" s="1" t="s">
        <v>15</v>
      </c>
      <c r="K140" s="1" t="s">
        <v>13</v>
      </c>
    </row>
    <row r="141" spans="1:11" x14ac:dyDescent="0.3">
      <c r="A141" s="3">
        <v>44703.654456018521</v>
      </c>
      <c r="B141">
        <v>-100.455825772024</v>
      </c>
      <c r="C141">
        <v>13.8999587984848</v>
      </c>
      <c r="D141">
        <v>1435.55506213218</v>
      </c>
      <c r="E141" s="1" t="s">
        <v>18</v>
      </c>
      <c r="F141">
        <v>7.2484403701712399</v>
      </c>
      <c r="G141">
        <v>7.1519277093553999</v>
      </c>
      <c r="H141">
        <v>1</v>
      </c>
      <c r="I141">
        <v>96</v>
      </c>
      <c r="J141" s="1" t="s">
        <v>15</v>
      </c>
      <c r="K141" s="1" t="s">
        <v>17</v>
      </c>
    </row>
    <row r="142" spans="1:11" x14ac:dyDescent="0.3">
      <c r="A142" s="3">
        <v>44704.846030092594</v>
      </c>
      <c r="B142">
        <v>-50.933754301928502</v>
      </c>
      <c r="C142">
        <v>22.777548351822201</v>
      </c>
      <c r="D142">
        <v>360.218316007125</v>
      </c>
      <c r="E142" s="1" t="s">
        <v>16</v>
      </c>
      <c r="F142">
        <v>3.7204276673643899</v>
      </c>
      <c r="G142">
        <v>3.4626862644400398</v>
      </c>
      <c r="H142">
        <v>6</v>
      </c>
      <c r="I142">
        <v>18</v>
      </c>
      <c r="J142" s="1" t="s">
        <v>15</v>
      </c>
      <c r="K142" s="1" t="s">
        <v>13</v>
      </c>
    </row>
    <row r="143" spans="1:11" x14ac:dyDescent="0.3">
      <c r="A143" s="3">
        <v>44705.568020833336</v>
      </c>
      <c r="B143">
        <v>-74.341203790799895</v>
      </c>
      <c r="C143">
        <v>15.1655638706308</v>
      </c>
      <c r="D143">
        <v>1792.2576855978</v>
      </c>
      <c r="E143" s="1" t="s">
        <v>16</v>
      </c>
      <c r="F143">
        <v>2.2040602207906201</v>
      </c>
      <c r="G143">
        <v>9.3189568684420294</v>
      </c>
      <c r="H143">
        <v>7</v>
      </c>
      <c r="I143">
        <v>69</v>
      </c>
      <c r="J143" s="1" t="s">
        <v>12</v>
      </c>
      <c r="K143" s="1" t="s">
        <v>13</v>
      </c>
    </row>
    <row r="144" spans="1:11" x14ac:dyDescent="0.3">
      <c r="A144" s="3">
        <v>44706.782604166663</v>
      </c>
      <c r="B144">
        <v>-74.130390173592701</v>
      </c>
      <c r="C144">
        <v>21.032955712772399</v>
      </c>
      <c r="D144">
        <v>1533.5423319352301</v>
      </c>
      <c r="E144" s="1" t="s">
        <v>14</v>
      </c>
      <c r="F144">
        <v>7.33105558182538</v>
      </c>
      <c r="G144">
        <v>8.5212783841784994</v>
      </c>
      <c r="H144">
        <v>6</v>
      </c>
      <c r="I144">
        <v>81</v>
      </c>
      <c r="J144" s="1" t="s">
        <v>12</v>
      </c>
      <c r="K144" s="1" t="s">
        <v>17</v>
      </c>
    </row>
    <row r="145" spans="1:11" x14ac:dyDescent="0.3">
      <c r="A145" s="3">
        <v>44707.736215277779</v>
      </c>
      <c r="B145">
        <v>-90.049546954967397</v>
      </c>
      <c r="C145">
        <v>21.830699136788802</v>
      </c>
      <c r="D145">
        <v>165.953509951499</v>
      </c>
      <c r="E145" s="1" t="s">
        <v>18</v>
      </c>
      <c r="F145">
        <v>6.8862605604137599</v>
      </c>
      <c r="G145">
        <v>1.3680246860760901</v>
      </c>
      <c r="H145">
        <v>10</v>
      </c>
      <c r="I145">
        <v>10</v>
      </c>
      <c r="J145" s="1" t="s">
        <v>15</v>
      </c>
      <c r="K145" s="1" t="s">
        <v>17</v>
      </c>
    </row>
    <row r="146" spans="1:11" x14ac:dyDescent="0.3">
      <c r="A146" s="3">
        <v>44708.795162037037</v>
      </c>
      <c r="B146">
        <v>-75.506463903533501</v>
      </c>
      <c r="C146">
        <v>28.200970177895201</v>
      </c>
      <c r="D146">
        <v>1639.98368061019</v>
      </c>
      <c r="E146" s="1" t="s">
        <v>11</v>
      </c>
      <c r="F146">
        <v>7.5583973776904401</v>
      </c>
      <c r="G146">
        <v>0.70195052353843002</v>
      </c>
      <c r="H146">
        <v>7</v>
      </c>
      <c r="I146">
        <v>82</v>
      </c>
      <c r="J146" s="1" t="s">
        <v>12</v>
      </c>
      <c r="K146" s="1" t="s">
        <v>17</v>
      </c>
    </row>
    <row r="147" spans="1:11" x14ac:dyDescent="0.3">
      <c r="A147" s="3">
        <v>44709.888298611113</v>
      </c>
      <c r="B147">
        <v>-83.562631775238998</v>
      </c>
      <c r="C147">
        <v>26.342585138559699</v>
      </c>
      <c r="D147">
        <v>926.54124437492806</v>
      </c>
      <c r="E147" s="1" t="s">
        <v>14</v>
      </c>
      <c r="F147">
        <v>9.9848664256080593</v>
      </c>
      <c r="G147">
        <v>0.67054808241164798</v>
      </c>
      <c r="H147">
        <v>2</v>
      </c>
      <c r="I147">
        <v>79</v>
      </c>
      <c r="J147" s="1" t="s">
        <v>12</v>
      </c>
      <c r="K147" s="1" t="s">
        <v>17</v>
      </c>
    </row>
    <row r="148" spans="1:11" x14ac:dyDescent="0.3">
      <c r="A148" s="3">
        <v>44710.96434027778</v>
      </c>
      <c r="B148">
        <v>-64.828292776385098</v>
      </c>
      <c r="C148">
        <v>11.6758147208345</v>
      </c>
      <c r="D148">
        <v>400.47957782018898</v>
      </c>
      <c r="E148" s="1" t="s">
        <v>16</v>
      </c>
      <c r="F148">
        <v>1.62102842195629</v>
      </c>
      <c r="G148">
        <v>0.214151275264929</v>
      </c>
      <c r="H148">
        <v>9</v>
      </c>
      <c r="I148">
        <v>62</v>
      </c>
      <c r="J148" s="1" t="s">
        <v>15</v>
      </c>
      <c r="K148" s="1" t="s">
        <v>13</v>
      </c>
    </row>
    <row r="149" spans="1:11" x14ac:dyDescent="0.3">
      <c r="A149" s="3">
        <v>44711.965324074074</v>
      </c>
      <c r="B149">
        <v>-73.038052357094102</v>
      </c>
      <c r="C149">
        <v>21.007353143298001</v>
      </c>
      <c r="D149">
        <v>1459.9553729596601</v>
      </c>
      <c r="E149" s="1" t="s">
        <v>14</v>
      </c>
      <c r="F149">
        <v>8.9280510381394897</v>
      </c>
      <c r="G149">
        <v>5.15860333770891</v>
      </c>
      <c r="H149">
        <v>9</v>
      </c>
      <c r="I149">
        <v>67</v>
      </c>
      <c r="J149" s="1" t="s">
        <v>12</v>
      </c>
      <c r="K149" s="1" t="s">
        <v>13</v>
      </c>
    </row>
    <row r="150" spans="1:11" x14ac:dyDescent="0.3">
      <c r="A150" s="3">
        <v>44712.982476851852</v>
      </c>
      <c r="B150">
        <v>-90.113317298889896</v>
      </c>
      <c r="C150">
        <v>21.241479857825301</v>
      </c>
      <c r="D150">
        <v>928.627967640419</v>
      </c>
      <c r="E150" s="1" t="s">
        <v>18</v>
      </c>
      <c r="F150">
        <v>2.5144295404618302</v>
      </c>
      <c r="G150">
        <v>7.5337711314195301</v>
      </c>
      <c r="H150">
        <v>8</v>
      </c>
      <c r="I150">
        <v>70</v>
      </c>
      <c r="J150" s="1" t="s">
        <v>12</v>
      </c>
      <c r="K150" s="1" t="s">
        <v>17</v>
      </c>
    </row>
    <row r="151" spans="1:11" x14ac:dyDescent="0.3">
      <c r="A151" s="3">
        <v>44713.452314814815</v>
      </c>
      <c r="B151">
        <v>-91.622688656485394</v>
      </c>
      <c r="C151">
        <v>15.3171384523831</v>
      </c>
      <c r="D151">
        <v>1787.06797186323</v>
      </c>
      <c r="E151" s="1" t="s">
        <v>18</v>
      </c>
      <c r="F151">
        <v>6.6720304162924702</v>
      </c>
      <c r="G151">
        <v>2.92342766024505</v>
      </c>
      <c r="H151">
        <v>7</v>
      </c>
      <c r="I151">
        <v>94</v>
      </c>
      <c r="J151" s="1" t="s">
        <v>12</v>
      </c>
      <c r="K151" s="1" t="s">
        <v>17</v>
      </c>
    </row>
    <row r="152" spans="1:11" x14ac:dyDescent="0.3">
      <c r="A152" s="3">
        <v>44714.416967592595</v>
      </c>
      <c r="B152">
        <v>-74.5024590817073</v>
      </c>
      <c r="C152">
        <v>26.8731087110346</v>
      </c>
      <c r="D152">
        <v>787.14099629072803</v>
      </c>
      <c r="E152" s="1" t="s">
        <v>14</v>
      </c>
      <c r="F152">
        <v>6.2607348537010097</v>
      </c>
      <c r="G152">
        <v>0.40412158390642999</v>
      </c>
      <c r="H152">
        <v>2</v>
      </c>
      <c r="I152">
        <v>50</v>
      </c>
      <c r="J152" s="1" t="s">
        <v>15</v>
      </c>
      <c r="K152" s="1" t="s">
        <v>13</v>
      </c>
    </row>
    <row r="153" spans="1:11" x14ac:dyDescent="0.3">
      <c r="A153" s="3">
        <v>44715.590173611112</v>
      </c>
      <c r="B153">
        <v>-63.697188821906401</v>
      </c>
      <c r="C153">
        <v>13.3624029183649</v>
      </c>
      <c r="D153">
        <v>1022.9738529247099</v>
      </c>
      <c r="E153" s="1" t="s">
        <v>14</v>
      </c>
      <c r="F153">
        <v>0.89807058839139497</v>
      </c>
      <c r="G153">
        <v>7.8477774513937604</v>
      </c>
      <c r="H153">
        <v>6</v>
      </c>
      <c r="I153">
        <v>11</v>
      </c>
      <c r="J153" s="1" t="s">
        <v>15</v>
      </c>
      <c r="K153" s="1" t="s">
        <v>13</v>
      </c>
    </row>
    <row r="154" spans="1:11" x14ac:dyDescent="0.3">
      <c r="A154" s="3">
        <v>44716.457511574074</v>
      </c>
      <c r="B154">
        <v>-70.771797696996998</v>
      </c>
      <c r="C154">
        <v>12.693206038280801</v>
      </c>
      <c r="D154">
        <v>1534.8440263339801</v>
      </c>
      <c r="E154" s="1" t="s">
        <v>14</v>
      </c>
      <c r="F154">
        <v>7.3603546111583498</v>
      </c>
      <c r="G154">
        <v>4.6524169185433797</v>
      </c>
      <c r="H154">
        <v>3</v>
      </c>
      <c r="I154">
        <v>24</v>
      </c>
      <c r="J154" s="1" t="s">
        <v>12</v>
      </c>
      <c r="K154" s="1" t="s">
        <v>17</v>
      </c>
    </row>
    <row r="155" spans="1:11" x14ac:dyDescent="0.3">
      <c r="A155" s="3">
        <v>44717.586574074077</v>
      </c>
      <c r="B155">
        <v>-86.185889514544002</v>
      </c>
      <c r="C155">
        <v>17.3721939710667</v>
      </c>
      <c r="D155">
        <v>1499.44108318393</v>
      </c>
      <c r="E155" s="1" t="s">
        <v>14</v>
      </c>
      <c r="F155">
        <v>8.8218147268629696</v>
      </c>
      <c r="G155">
        <v>3.9097208277766198</v>
      </c>
      <c r="H155">
        <v>3</v>
      </c>
      <c r="I155">
        <v>77</v>
      </c>
      <c r="J155" s="1" t="s">
        <v>15</v>
      </c>
      <c r="K155" s="1" t="s">
        <v>17</v>
      </c>
    </row>
    <row r="156" spans="1:11" x14ac:dyDescent="0.3">
      <c r="A156" s="3">
        <v>44718.676377314812</v>
      </c>
      <c r="B156">
        <v>-89.734381959335195</v>
      </c>
      <c r="C156">
        <v>10.9814865761465</v>
      </c>
      <c r="D156">
        <v>972.09572192275004</v>
      </c>
      <c r="E156" s="1" t="s">
        <v>11</v>
      </c>
      <c r="F156">
        <v>13.0120908322709</v>
      </c>
      <c r="G156">
        <v>3.1754326588629098</v>
      </c>
      <c r="H156">
        <v>6</v>
      </c>
      <c r="I156">
        <v>28</v>
      </c>
      <c r="J156" s="1" t="s">
        <v>12</v>
      </c>
      <c r="K156" s="1" t="s">
        <v>13</v>
      </c>
    </row>
    <row r="157" spans="1:11" x14ac:dyDescent="0.3">
      <c r="A157" s="3">
        <v>44719.470034722224</v>
      </c>
      <c r="B157">
        <v>-85.265388113688402</v>
      </c>
      <c r="C157">
        <v>23.132468889493101</v>
      </c>
      <c r="D157">
        <v>957.06767564947495</v>
      </c>
      <c r="E157" s="1" t="s">
        <v>14</v>
      </c>
      <c r="F157">
        <v>9.2094467427368105</v>
      </c>
      <c r="G157">
        <v>1.11477380665829</v>
      </c>
      <c r="H157">
        <v>10</v>
      </c>
      <c r="I157">
        <v>28</v>
      </c>
      <c r="J157" s="1" t="s">
        <v>15</v>
      </c>
      <c r="K157" s="1" t="s">
        <v>17</v>
      </c>
    </row>
    <row r="158" spans="1:11" x14ac:dyDescent="0.3">
      <c r="A158" s="3">
        <v>44720.789004629631</v>
      </c>
      <c r="B158">
        <v>-64.864666941549402</v>
      </c>
      <c r="C158">
        <v>21.878372919461398</v>
      </c>
      <c r="D158">
        <v>1492.9638069258499</v>
      </c>
      <c r="E158" s="1" t="s">
        <v>16</v>
      </c>
      <c r="F158">
        <v>2.2668898197727598</v>
      </c>
      <c r="G158">
        <v>8.5965309315275995</v>
      </c>
      <c r="H158">
        <v>6</v>
      </c>
      <c r="I158">
        <v>81</v>
      </c>
      <c r="J158" s="1" t="s">
        <v>12</v>
      </c>
      <c r="K158" s="1" t="s">
        <v>13</v>
      </c>
    </row>
    <row r="159" spans="1:11" x14ac:dyDescent="0.3">
      <c r="A159" s="3">
        <v>44721.439606481479</v>
      </c>
      <c r="B159">
        <v>-92.310690111492306</v>
      </c>
      <c r="C159">
        <v>27.597487256490702</v>
      </c>
      <c r="D159">
        <v>1056.9081062232101</v>
      </c>
      <c r="E159" s="1" t="s">
        <v>18</v>
      </c>
      <c r="F159">
        <v>7.4701897808615296</v>
      </c>
      <c r="G159">
        <v>8.7871664027568599</v>
      </c>
      <c r="H159">
        <v>10</v>
      </c>
      <c r="I159">
        <v>50</v>
      </c>
      <c r="J159" s="1" t="s">
        <v>15</v>
      </c>
      <c r="K159" s="1" t="s">
        <v>13</v>
      </c>
    </row>
    <row r="160" spans="1:11" x14ac:dyDescent="0.3">
      <c r="A160" s="3">
        <v>44722.634317129632</v>
      </c>
      <c r="B160">
        <v>-76.882703412308302</v>
      </c>
      <c r="C160">
        <v>27.8049710568799</v>
      </c>
      <c r="D160">
        <v>369.63824655503697</v>
      </c>
      <c r="E160" s="1" t="s">
        <v>14</v>
      </c>
      <c r="F160">
        <v>3.29339202567275</v>
      </c>
      <c r="G160">
        <v>9.6730194797289499</v>
      </c>
      <c r="H160">
        <v>1</v>
      </c>
      <c r="I160">
        <v>30</v>
      </c>
      <c r="J160" s="1" t="s">
        <v>12</v>
      </c>
      <c r="K160" s="1" t="s">
        <v>17</v>
      </c>
    </row>
    <row r="161" spans="1:11" x14ac:dyDescent="0.3">
      <c r="A161" s="3">
        <v>44723.985821759263</v>
      </c>
      <c r="B161">
        <v>-103.123227211551</v>
      </c>
      <c r="C161">
        <v>17.331995772075601</v>
      </c>
      <c r="D161">
        <v>47.519581177619898</v>
      </c>
      <c r="E161" s="1" t="s">
        <v>11</v>
      </c>
      <c r="F161">
        <v>9.0796203572454797</v>
      </c>
      <c r="G161">
        <v>0.12076836622338</v>
      </c>
      <c r="H161">
        <v>4</v>
      </c>
      <c r="I161">
        <v>95</v>
      </c>
      <c r="J161" s="1" t="s">
        <v>15</v>
      </c>
      <c r="K161" s="1" t="s">
        <v>17</v>
      </c>
    </row>
    <row r="162" spans="1:11" x14ac:dyDescent="0.3">
      <c r="A162" s="3">
        <v>44724.420254629629</v>
      </c>
      <c r="B162">
        <v>-87.339285248335102</v>
      </c>
      <c r="C162">
        <v>12.087157479524899</v>
      </c>
      <c r="D162">
        <v>1738.3801276552599</v>
      </c>
      <c r="E162" s="1" t="s">
        <v>16</v>
      </c>
      <c r="F162">
        <v>3.7777096955651102</v>
      </c>
      <c r="G162">
        <v>0.70387690373965595</v>
      </c>
      <c r="H162">
        <v>8</v>
      </c>
      <c r="I162">
        <v>83</v>
      </c>
      <c r="J162" s="1" t="s">
        <v>15</v>
      </c>
      <c r="K162" s="1" t="s">
        <v>13</v>
      </c>
    </row>
    <row r="163" spans="1:11" x14ac:dyDescent="0.3">
      <c r="A163" s="3">
        <v>44725.84270833333</v>
      </c>
      <c r="B163">
        <v>-101.002100973339</v>
      </c>
      <c r="C163">
        <v>27.7027637915991</v>
      </c>
      <c r="D163">
        <v>1625.43691364442</v>
      </c>
      <c r="E163" s="1" t="s">
        <v>18</v>
      </c>
      <c r="F163">
        <v>3.2292901410254902</v>
      </c>
      <c r="G163">
        <v>8.95091713243621</v>
      </c>
      <c r="H163">
        <v>7</v>
      </c>
      <c r="I163">
        <v>38</v>
      </c>
      <c r="J163" s="1" t="s">
        <v>15</v>
      </c>
      <c r="K163" s="1" t="s">
        <v>17</v>
      </c>
    </row>
    <row r="164" spans="1:11" x14ac:dyDescent="0.3">
      <c r="A164" s="3">
        <v>44726.483518518522</v>
      </c>
      <c r="B164">
        <v>-83.023047092998397</v>
      </c>
      <c r="C164">
        <v>21.0000849881541</v>
      </c>
      <c r="D164">
        <v>559.34094025489799</v>
      </c>
      <c r="E164" s="1" t="s">
        <v>11</v>
      </c>
      <c r="F164">
        <v>12.504612687102499</v>
      </c>
      <c r="G164">
        <v>7.2683701429858498</v>
      </c>
      <c r="H164">
        <v>9</v>
      </c>
      <c r="I164">
        <v>43</v>
      </c>
      <c r="J164" s="1" t="s">
        <v>12</v>
      </c>
      <c r="K164" s="1" t="s">
        <v>17</v>
      </c>
    </row>
    <row r="165" spans="1:11" x14ac:dyDescent="0.3">
      <c r="A165" s="3">
        <v>44727.776041666664</v>
      </c>
      <c r="B165">
        <v>-95.488834352635607</v>
      </c>
      <c r="C165">
        <v>22.873429407371901</v>
      </c>
      <c r="D165">
        <v>1016.57085365952</v>
      </c>
      <c r="E165" s="1" t="s">
        <v>14</v>
      </c>
      <c r="F165">
        <v>5.94412110760166</v>
      </c>
      <c r="G165">
        <v>4.8245013627497899</v>
      </c>
      <c r="H165">
        <v>9</v>
      </c>
      <c r="I165">
        <v>27</v>
      </c>
      <c r="J165" s="1" t="s">
        <v>15</v>
      </c>
      <c r="K165" s="1" t="s">
        <v>13</v>
      </c>
    </row>
    <row r="166" spans="1:11" x14ac:dyDescent="0.3">
      <c r="A166" s="3">
        <v>44728.890543981484</v>
      </c>
      <c r="B166">
        <v>-102.93200424868201</v>
      </c>
      <c r="C166">
        <v>27.513388731628599</v>
      </c>
      <c r="D166">
        <v>231.77766610391399</v>
      </c>
      <c r="E166" s="1" t="s">
        <v>18</v>
      </c>
      <c r="F166">
        <v>5.7790579794427401</v>
      </c>
      <c r="G166">
        <v>4.5428577630580298</v>
      </c>
      <c r="H166">
        <v>5</v>
      </c>
      <c r="I166">
        <v>77</v>
      </c>
      <c r="J166" s="1" t="s">
        <v>12</v>
      </c>
      <c r="K166" s="1" t="s">
        <v>13</v>
      </c>
    </row>
    <row r="167" spans="1:11" x14ac:dyDescent="0.3">
      <c r="A167" s="3">
        <v>44729.487500000003</v>
      </c>
      <c r="B167">
        <v>-82.718810470389997</v>
      </c>
      <c r="C167">
        <v>10.296910753500301</v>
      </c>
      <c r="D167">
        <v>1117.03185708203</v>
      </c>
      <c r="E167" s="1" t="s">
        <v>18</v>
      </c>
      <c r="F167">
        <v>6.25850265105489</v>
      </c>
      <c r="G167">
        <v>4.3626137018368798</v>
      </c>
      <c r="H167">
        <v>8</v>
      </c>
      <c r="I167">
        <v>86</v>
      </c>
      <c r="J167" s="1" t="s">
        <v>12</v>
      </c>
      <c r="K167" s="1" t="s">
        <v>13</v>
      </c>
    </row>
    <row r="168" spans="1:11" x14ac:dyDescent="0.3">
      <c r="A168" s="3">
        <v>44730.600057870368</v>
      </c>
      <c r="B168">
        <v>-95.229278750821607</v>
      </c>
      <c r="C168">
        <v>24.161193164748401</v>
      </c>
      <c r="D168">
        <v>1424.9901732620301</v>
      </c>
      <c r="E168" s="1" t="s">
        <v>14</v>
      </c>
      <c r="F168">
        <v>5.9622289513906299</v>
      </c>
      <c r="G168">
        <v>4.0499538571216904</v>
      </c>
      <c r="H168">
        <v>1</v>
      </c>
      <c r="I168">
        <v>76</v>
      </c>
      <c r="J168" s="1" t="s">
        <v>15</v>
      </c>
      <c r="K168" s="1" t="s">
        <v>13</v>
      </c>
    </row>
    <row r="169" spans="1:11" x14ac:dyDescent="0.3">
      <c r="A169" s="3">
        <v>44731.740729166668</v>
      </c>
      <c r="B169">
        <v>-82.005765486568393</v>
      </c>
      <c r="C169">
        <v>19.6496746381045</v>
      </c>
      <c r="D169">
        <v>418.26739583608997</v>
      </c>
      <c r="E169" s="1" t="s">
        <v>14</v>
      </c>
      <c r="F169">
        <v>2.4586102180920002</v>
      </c>
      <c r="G169">
        <v>7.0133278352199397</v>
      </c>
      <c r="H169">
        <v>10</v>
      </c>
      <c r="I169">
        <v>69</v>
      </c>
      <c r="J169" s="1" t="s">
        <v>15</v>
      </c>
      <c r="K169" s="1" t="s">
        <v>13</v>
      </c>
    </row>
    <row r="170" spans="1:11" x14ac:dyDescent="0.3">
      <c r="A170" s="3">
        <v>44732.942812499998</v>
      </c>
      <c r="B170">
        <v>-107.457408949694</v>
      </c>
      <c r="C170">
        <v>11.354301914763001</v>
      </c>
      <c r="D170">
        <v>176.88002379684099</v>
      </c>
      <c r="E170" s="1" t="s">
        <v>16</v>
      </c>
      <c r="F170">
        <v>2.09867693903692</v>
      </c>
      <c r="G170">
        <v>3.3264266851256701</v>
      </c>
      <c r="H170">
        <v>8</v>
      </c>
      <c r="I170">
        <v>2</v>
      </c>
      <c r="J170" s="1" t="s">
        <v>12</v>
      </c>
      <c r="K170" s="1" t="s">
        <v>13</v>
      </c>
    </row>
    <row r="171" spans="1:11" x14ac:dyDescent="0.3">
      <c r="A171" s="3">
        <v>44733.717129629629</v>
      </c>
      <c r="B171">
        <v>-92.632873289645303</v>
      </c>
      <c r="C171">
        <v>17.642345246808802</v>
      </c>
      <c r="D171">
        <v>1500.4580157712801</v>
      </c>
      <c r="E171" s="1" t="s">
        <v>11</v>
      </c>
      <c r="F171">
        <v>11.0457441196254</v>
      </c>
      <c r="G171">
        <v>7.2402968879587002</v>
      </c>
      <c r="H171">
        <v>8</v>
      </c>
      <c r="I171">
        <v>86</v>
      </c>
      <c r="J171" s="1" t="s">
        <v>15</v>
      </c>
      <c r="K171" s="1" t="s">
        <v>17</v>
      </c>
    </row>
    <row r="172" spans="1:11" x14ac:dyDescent="0.3">
      <c r="A172" s="3">
        <v>44734.861192129632</v>
      </c>
      <c r="B172">
        <v>-74.739268177801193</v>
      </c>
      <c r="C172">
        <v>18.336322082989302</v>
      </c>
      <c r="D172">
        <v>1585.6282343508999</v>
      </c>
      <c r="E172" s="1" t="s">
        <v>14</v>
      </c>
      <c r="F172">
        <v>9.9736121345200104</v>
      </c>
      <c r="G172">
        <v>5.6927392138102197</v>
      </c>
      <c r="H172">
        <v>3</v>
      </c>
      <c r="I172">
        <v>46</v>
      </c>
      <c r="J172" s="1" t="s">
        <v>15</v>
      </c>
      <c r="K172" s="1" t="s">
        <v>17</v>
      </c>
    </row>
    <row r="173" spans="1:11" x14ac:dyDescent="0.3">
      <c r="A173" s="3">
        <v>44735.534050925926</v>
      </c>
      <c r="B173">
        <v>-92.731000050440599</v>
      </c>
      <c r="C173">
        <v>13.793579816353301</v>
      </c>
      <c r="D173">
        <v>172.88727527080201</v>
      </c>
      <c r="E173" s="1" t="s">
        <v>18</v>
      </c>
      <c r="F173">
        <v>7.0737488401926498</v>
      </c>
      <c r="G173">
        <v>6.02246833373108</v>
      </c>
      <c r="H173">
        <v>9</v>
      </c>
      <c r="I173">
        <v>86</v>
      </c>
      <c r="J173" s="1" t="s">
        <v>15</v>
      </c>
      <c r="K173" s="1" t="s">
        <v>17</v>
      </c>
    </row>
    <row r="174" spans="1:11" x14ac:dyDescent="0.3">
      <c r="A174" s="3">
        <v>44736.634270833332</v>
      </c>
      <c r="B174">
        <v>-88.822496335120604</v>
      </c>
      <c r="C174">
        <v>23.228831435687798</v>
      </c>
      <c r="D174">
        <v>1633.92877379785</v>
      </c>
      <c r="E174" s="1" t="s">
        <v>18</v>
      </c>
      <c r="F174">
        <v>5.9975673121147004</v>
      </c>
      <c r="G174">
        <v>8.9217050527090205</v>
      </c>
      <c r="H174">
        <v>4</v>
      </c>
      <c r="I174">
        <v>30</v>
      </c>
      <c r="J174" s="1" t="s">
        <v>12</v>
      </c>
      <c r="K174" s="1" t="s">
        <v>13</v>
      </c>
    </row>
    <row r="175" spans="1:11" x14ac:dyDescent="0.3">
      <c r="A175" s="3">
        <v>44737.864641203705</v>
      </c>
      <c r="B175">
        <v>-78.118605342706502</v>
      </c>
      <c r="C175">
        <v>13.886960564801599</v>
      </c>
      <c r="D175">
        <v>370.89305424204002</v>
      </c>
      <c r="E175" s="1" t="s">
        <v>16</v>
      </c>
      <c r="F175">
        <v>2.44615598856966</v>
      </c>
      <c r="G175">
        <v>2.03706328114363</v>
      </c>
      <c r="H175">
        <v>6</v>
      </c>
      <c r="I175">
        <v>70</v>
      </c>
      <c r="J175" s="1" t="s">
        <v>12</v>
      </c>
      <c r="K175" s="1" t="s">
        <v>13</v>
      </c>
    </row>
    <row r="176" spans="1:11" x14ac:dyDescent="0.3">
      <c r="A176" s="3">
        <v>44738.605300925927</v>
      </c>
      <c r="B176">
        <v>-77.912610347042005</v>
      </c>
      <c r="C176">
        <v>14.8059285517493</v>
      </c>
      <c r="D176">
        <v>580.54954168056895</v>
      </c>
      <c r="E176" s="1" t="s">
        <v>16</v>
      </c>
      <c r="F176">
        <v>0.69265990006004896</v>
      </c>
      <c r="G176">
        <v>6.2128828412684802</v>
      </c>
      <c r="H176">
        <v>8</v>
      </c>
      <c r="I176">
        <v>10</v>
      </c>
      <c r="J176" s="1" t="s">
        <v>15</v>
      </c>
      <c r="K176" s="1" t="s">
        <v>13</v>
      </c>
    </row>
    <row r="177" spans="1:11" x14ac:dyDescent="0.3">
      <c r="A177" s="3">
        <v>44739.886412037034</v>
      </c>
      <c r="B177">
        <v>-100.321439310516</v>
      </c>
      <c r="C177">
        <v>24.0913898225376</v>
      </c>
      <c r="D177">
        <v>710.86256989628498</v>
      </c>
      <c r="E177" s="1" t="s">
        <v>11</v>
      </c>
      <c r="F177">
        <v>14.8537366839074</v>
      </c>
      <c r="G177">
        <v>5.3365699968368396</v>
      </c>
      <c r="H177">
        <v>1</v>
      </c>
      <c r="I177">
        <v>2</v>
      </c>
      <c r="J177" s="1" t="s">
        <v>12</v>
      </c>
      <c r="K177" s="1" t="s">
        <v>13</v>
      </c>
    </row>
    <row r="178" spans="1:11" x14ac:dyDescent="0.3">
      <c r="A178" s="3">
        <v>44740.497974537036</v>
      </c>
      <c r="B178">
        <v>-70.548224695194605</v>
      </c>
      <c r="C178">
        <v>13.318533964109699</v>
      </c>
      <c r="D178">
        <v>924.96331983087202</v>
      </c>
      <c r="E178" s="1" t="s">
        <v>18</v>
      </c>
      <c r="F178">
        <v>3.1938401127704799</v>
      </c>
      <c r="G178">
        <v>1.41459413785082</v>
      </c>
      <c r="H178">
        <v>7</v>
      </c>
      <c r="I178">
        <v>4</v>
      </c>
      <c r="J178" s="1" t="s">
        <v>12</v>
      </c>
      <c r="K178" s="1" t="s">
        <v>13</v>
      </c>
    </row>
    <row r="179" spans="1:11" x14ac:dyDescent="0.3">
      <c r="A179" s="3">
        <v>44741.601377314815</v>
      </c>
      <c r="B179">
        <v>-90.775668570106902</v>
      </c>
      <c r="C179">
        <v>11.8387033271191</v>
      </c>
      <c r="D179">
        <v>1044.1144212187</v>
      </c>
      <c r="E179" s="1" t="s">
        <v>18</v>
      </c>
      <c r="F179">
        <v>2.74880560746809</v>
      </c>
      <c r="G179">
        <v>9.3825840804987592</v>
      </c>
      <c r="H179">
        <v>9</v>
      </c>
      <c r="I179">
        <v>68</v>
      </c>
      <c r="J179" s="1" t="s">
        <v>12</v>
      </c>
      <c r="K179" s="1" t="s">
        <v>17</v>
      </c>
    </row>
    <row r="180" spans="1:11" x14ac:dyDescent="0.3">
      <c r="A180" s="3">
        <v>44742.639988425923</v>
      </c>
      <c r="B180">
        <v>-69.550831238736293</v>
      </c>
      <c r="C180">
        <v>17.9485866302565</v>
      </c>
      <c r="D180">
        <v>1400.62963758604</v>
      </c>
      <c r="E180" s="1" t="s">
        <v>16</v>
      </c>
      <c r="F180">
        <v>1.8227660419865599</v>
      </c>
      <c r="G180">
        <v>8.8121671784110998</v>
      </c>
      <c r="H180">
        <v>1</v>
      </c>
      <c r="I180">
        <v>70</v>
      </c>
      <c r="J180" s="1" t="s">
        <v>12</v>
      </c>
      <c r="K180" s="1" t="s">
        <v>17</v>
      </c>
    </row>
    <row r="181" spans="1:11" x14ac:dyDescent="0.3">
      <c r="A181" s="3">
        <v>44743.443969907406</v>
      </c>
      <c r="B181">
        <v>-112.260333813944</v>
      </c>
      <c r="C181">
        <v>18.391576856010499</v>
      </c>
      <c r="D181">
        <v>58.148009626072501</v>
      </c>
      <c r="E181" s="1" t="s">
        <v>16</v>
      </c>
      <c r="F181">
        <v>2.3028573815494502</v>
      </c>
      <c r="G181">
        <v>2.6943676563304901</v>
      </c>
      <c r="H181">
        <v>9</v>
      </c>
      <c r="I181">
        <v>73</v>
      </c>
      <c r="J181" s="1" t="s">
        <v>15</v>
      </c>
      <c r="K181" s="1" t="s">
        <v>13</v>
      </c>
    </row>
    <row r="182" spans="1:11" x14ac:dyDescent="0.3">
      <c r="A182" s="3">
        <v>44744.480810185189</v>
      </c>
      <c r="B182">
        <v>-63.074022373888603</v>
      </c>
      <c r="C182">
        <v>20.477238822348198</v>
      </c>
      <c r="D182">
        <v>918.44668643992202</v>
      </c>
      <c r="E182" s="1" t="s">
        <v>14</v>
      </c>
      <c r="F182">
        <v>9.5289159383073301</v>
      </c>
      <c r="G182">
        <v>0.59341547693570795</v>
      </c>
      <c r="H182">
        <v>8</v>
      </c>
      <c r="I182">
        <v>61</v>
      </c>
      <c r="J182" s="1" t="s">
        <v>15</v>
      </c>
      <c r="K182" s="1" t="s">
        <v>13</v>
      </c>
    </row>
    <row r="183" spans="1:11" x14ac:dyDescent="0.3">
      <c r="A183" s="3">
        <v>44745.609259259261</v>
      </c>
      <c r="B183">
        <v>-87.506781819743296</v>
      </c>
      <c r="C183">
        <v>20.836306160546201</v>
      </c>
      <c r="D183">
        <v>1417.37212837672</v>
      </c>
      <c r="E183" s="1" t="s">
        <v>11</v>
      </c>
      <c r="F183">
        <v>6.4947012461701803</v>
      </c>
      <c r="G183">
        <v>1.83834054393281</v>
      </c>
      <c r="H183">
        <v>2</v>
      </c>
      <c r="I183">
        <v>16</v>
      </c>
      <c r="J183" s="1" t="s">
        <v>15</v>
      </c>
      <c r="K183" s="1" t="s">
        <v>13</v>
      </c>
    </row>
    <row r="184" spans="1:11" x14ac:dyDescent="0.3">
      <c r="A184" s="3">
        <v>44746.648541666669</v>
      </c>
      <c r="B184">
        <v>-79.164858756801806</v>
      </c>
      <c r="C184">
        <v>25.838420511594201</v>
      </c>
      <c r="D184">
        <v>920.13214846245501</v>
      </c>
      <c r="E184" s="1" t="s">
        <v>11</v>
      </c>
      <c r="F184">
        <v>8.6765166077716191</v>
      </c>
      <c r="G184">
        <v>9.5926176464504191</v>
      </c>
      <c r="H184">
        <v>4</v>
      </c>
      <c r="I184">
        <v>39</v>
      </c>
      <c r="J184" s="1" t="s">
        <v>15</v>
      </c>
      <c r="K184" s="1" t="s">
        <v>13</v>
      </c>
    </row>
    <row r="185" spans="1:11" x14ac:dyDescent="0.3">
      <c r="A185" s="3">
        <v>44747.762488425928</v>
      </c>
      <c r="B185">
        <v>-64.799653203306207</v>
      </c>
      <c r="C185">
        <v>14.5746826459555</v>
      </c>
      <c r="D185">
        <v>1081.4662713896901</v>
      </c>
      <c r="E185" s="1" t="s">
        <v>14</v>
      </c>
      <c r="F185">
        <v>8.7801092116453692</v>
      </c>
      <c r="G185">
        <v>7.2731946976744597</v>
      </c>
      <c r="H185">
        <v>7</v>
      </c>
      <c r="I185">
        <v>44</v>
      </c>
      <c r="J185" s="1" t="s">
        <v>12</v>
      </c>
      <c r="K185" s="1" t="s">
        <v>17</v>
      </c>
    </row>
    <row r="186" spans="1:11" x14ac:dyDescent="0.3">
      <c r="A186" s="3">
        <v>44748.545659722222</v>
      </c>
      <c r="B186">
        <v>-69.805327426150598</v>
      </c>
      <c r="C186">
        <v>23.765780515774701</v>
      </c>
      <c r="D186">
        <v>1716.69715194477</v>
      </c>
      <c r="E186" s="1" t="s">
        <v>14</v>
      </c>
      <c r="F186">
        <v>8.31966736796549</v>
      </c>
      <c r="G186">
        <v>9.5165897814205902</v>
      </c>
      <c r="H186">
        <v>5</v>
      </c>
      <c r="I186">
        <v>45</v>
      </c>
      <c r="J186" s="1" t="s">
        <v>12</v>
      </c>
      <c r="K186" s="1" t="s">
        <v>17</v>
      </c>
    </row>
    <row r="187" spans="1:11" x14ac:dyDescent="0.3">
      <c r="A187" s="3">
        <v>44749.650949074072</v>
      </c>
      <c r="B187">
        <v>-105.43347023941701</v>
      </c>
      <c r="C187">
        <v>26.190326299513</v>
      </c>
      <c r="D187">
        <v>1363.2092163314401</v>
      </c>
      <c r="E187" s="1" t="s">
        <v>16</v>
      </c>
      <c r="F187">
        <v>4.4955200100260502</v>
      </c>
      <c r="G187">
        <v>8.0129483467619593</v>
      </c>
      <c r="H187">
        <v>6</v>
      </c>
      <c r="I187">
        <v>15</v>
      </c>
      <c r="J187" s="1" t="s">
        <v>15</v>
      </c>
      <c r="K187" s="1" t="s">
        <v>17</v>
      </c>
    </row>
    <row r="188" spans="1:11" x14ac:dyDescent="0.3">
      <c r="A188" s="3">
        <v>44750.932754629626</v>
      </c>
      <c r="B188">
        <v>-104.92385016902</v>
      </c>
      <c r="C188">
        <v>14.283910467655</v>
      </c>
      <c r="D188">
        <v>315.76866500715801</v>
      </c>
      <c r="E188" s="1" t="s">
        <v>18</v>
      </c>
      <c r="F188">
        <v>4.7241528267352102</v>
      </c>
      <c r="G188">
        <v>5.9577131071371596</v>
      </c>
      <c r="H188">
        <v>4</v>
      </c>
      <c r="I188">
        <v>71</v>
      </c>
      <c r="J188" s="1" t="s">
        <v>15</v>
      </c>
      <c r="K188" s="1" t="s">
        <v>17</v>
      </c>
    </row>
    <row r="189" spans="1:11" x14ac:dyDescent="0.3">
      <c r="A189" s="3">
        <v>44751.597013888888</v>
      </c>
      <c r="B189">
        <v>-89.974072638242006</v>
      </c>
      <c r="C189">
        <v>14.331735051120299</v>
      </c>
      <c r="D189">
        <v>77.854180391601901</v>
      </c>
      <c r="E189" s="1" t="s">
        <v>11</v>
      </c>
      <c r="F189">
        <v>14.2187855439728</v>
      </c>
      <c r="G189">
        <v>1.02031285949688</v>
      </c>
      <c r="H189">
        <v>3</v>
      </c>
      <c r="I189">
        <v>66</v>
      </c>
      <c r="J189" s="1" t="s">
        <v>15</v>
      </c>
      <c r="K189" s="1" t="s">
        <v>13</v>
      </c>
    </row>
    <row r="190" spans="1:11" x14ac:dyDescent="0.3">
      <c r="A190" s="3">
        <v>44752.578553240739</v>
      </c>
      <c r="B190">
        <v>-80.837131863153203</v>
      </c>
      <c r="C190">
        <v>20.749828494266801</v>
      </c>
      <c r="D190">
        <v>933.33336209782999</v>
      </c>
      <c r="E190" s="1" t="s">
        <v>11</v>
      </c>
      <c r="F190">
        <v>12.060405323898999</v>
      </c>
      <c r="G190">
        <v>1.2446717640549501</v>
      </c>
      <c r="H190">
        <v>3</v>
      </c>
      <c r="I190">
        <v>99</v>
      </c>
      <c r="J190" s="1" t="s">
        <v>15</v>
      </c>
      <c r="K190" s="1" t="s">
        <v>17</v>
      </c>
    </row>
    <row r="191" spans="1:11" x14ac:dyDescent="0.3">
      <c r="A191" s="3">
        <v>44753.599328703705</v>
      </c>
      <c r="B191">
        <v>-76.560880665120393</v>
      </c>
      <c r="C191">
        <v>25.320592922177401</v>
      </c>
      <c r="D191">
        <v>1007.63300537895</v>
      </c>
      <c r="E191" s="1" t="s">
        <v>16</v>
      </c>
      <c r="F191">
        <v>3.1213007070905601</v>
      </c>
      <c r="G191">
        <v>0.62584034859621496</v>
      </c>
      <c r="H191">
        <v>8</v>
      </c>
      <c r="I191">
        <v>99</v>
      </c>
      <c r="J191" s="1" t="s">
        <v>12</v>
      </c>
      <c r="K191" s="1" t="s">
        <v>13</v>
      </c>
    </row>
    <row r="192" spans="1:11" x14ac:dyDescent="0.3">
      <c r="A192" s="3">
        <v>44754.400763888887</v>
      </c>
      <c r="B192">
        <v>-82.639175278213301</v>
      </c>
      <c r="C192">
        <v>11.2099218568935</v>
      </c>
      <c r="D192">
        <v>1770.08627435274</v>
      </c>
      <c r="E192" s="1" t="s">
        <v>18</v>
      </c>
      <c r="F192">
        <v>5.2546565279592601</v>
      </c>
      <c r="G192">
        <v>9.9292799690958997</v>
      </c>
      <c r="H192">
        <v>8</v>
      </c>
      <c r="I192">
        <v>6</v>
      </c>
      <c r="J192" s="1" t="s">
        <v>15</v>
      </c>
      <c r="K192" s="1" t="s">
        <v>17</v>
      </c>
    </row>
    <row r="193" spans="1:11" x14ac:dyDescent="0.3">
      <c r="A193" s="3">
        <v>44755.770740740743</v>
      </c>
      <c r="B193">
        <v>-111.403356631093</v>
      </c>
      <c r="C193">
        <v>15.5327169357604</v>
      </c>
      <c r="D193">
        <v>773.12280674696501</v>
      </c>
      <c r="E193" s="1" t="s">
        <v>16</v>
      </c>
      <c r="F193">
        <v>0.41627628977590297</v>
      </c>
      <c r="G193">
        <v>1.39522620114308</v>
      </c>
      <c r="H193">
        <v>3</v>
      </c>
      <c r="I193">
        <v>48</v>
      </c>
      <c r="J193" s="1" t="s">
        <v>12</v>
      </c>
      <c r="K193" s="1" t="s">
        <v>13</v>
      </c>
    </row>
    <row r="194" spans="1:11" x14ac:dyDescent="0.3">
      <c r="A194" s="3">
        <v>44756.906898148147</v>
      </c>
      <c r="B194">
        <v>-82.557757848804897</v>
      </c>
      <c r="C194">
        <v>27.993419344627799</v>
      </c>
      <c r="D194">
        <v>1459.11271159335</v>
      </c>
      <c r="E194" s="1" t="s">
        <v>18</v>
      </c>
      <c r="F194">
        <v>2.3108705703408199</v>
      </c>
      <c r="G194">
        <v>8.1812344726311803</v>
      </c>
      <c r="H194">
        <v>3</v>
      </c>
      <c r="I194">
        <v>31</v>
      </c>
      <c r="J194" s="1" t="s">
        <v>12</v>
      </c>
      <c r="K194" s="1" t="s">
        <v>13</v>
      </c>
    </row>
    <row r="195" spans="1:11" x14ac:dyDescent="0.3">
      <c r="A195" s="3">
        <v>44757.493391203701</v>
      </c>
      <c r="B195">
        <v>-66.434748057717201</v>
      </c>
      <c r="C195">
        <v>14.695634955623699</v>
      </c>
      <c r="D195">
        <v>809.42997174507195</v>
      </c>
      <c r="E195" s="1" t="s">
        <v>16</v>
      </c>
      <c r="F195">
        <v>3.38474972821649</v>
      </c>
      <c r="G195">
        <v>9.6548073349482095</v>
      </c>
      <c r="H195">
        <v>8</v>
      </c>
      <c r="I195">
        <v>84</v>
      </c>
      <c r="J195" s="1" t="s">
        <v>15</v>
      </c>
      <c r="K195" s="1" t="s">
        <v>17</v>
      </c>
    </row>
    <row r="196" spans="1:11" x14ac:dyDescent="0.3">
      <c r="A196" s="3">
        <v>44758.385254629633</v>
      </c>
      <c r="B196">
        <v>-86.538597212945305</v>
      </c>
      <c r="C196">
        <v>19.296492673167499</v>
      </c>
      <c r="D196">
        <v>1632.26557605529</v>
      </c>
      <c r="E196" s="1" t="s">
        <v>14</v>
      </c>
      <c r="F196">
        <v>1.3047285644589099</v>
      </c>
      <c r="G196">
        <v>7.0428316748669104</v>
      </c>
      <c r="H196">
        <v>2</v>
      </c>
      <c r="I196">
        <v>27</v>
      </c>
      <c r="J196" s="1" t="s">
        <v>15</v>
      </c>
      <c r="K196" s="1" t="s">
        <v>13</v>
      </c>
    </row>
    <row r="197" spans="1:11" x14ac:dyDescent="0.3">
      <c r="A197" s="3">
        <v>44759.671249999999</v>
      </c>
      <c r="B197">
        <v>-75.012419582384695</v>
      </c>
      <c r="C197">
        <v>29.405679131964</v>
      </c>
      <c r="D197">
        <v>1767.72473390086</v>
      </c>
      <c r="E197" s="1" t="s">
        <v>14</v>
      </c>
      <c r="F197">
        <v>0.55047564977082597</v>
      </c>
      <c r="G197">
        <v>1.73926098305349</v>
      </c>
      <c r="H197">
        <v>1</v>
      </c>
      <c r="I197">
        <v>20</v>
      </c>
      <c r="J197" s="1" t="s">
        <v>15</v>
      </c>
      <c r="K197" s="1" t="s">
        <v>13</v>
      </c>
    </row>
    <row r="198" spans="1:11" x14ac:dyDescent="0.3">
      <c r="A198" s="3">
        <v>44760.666643518518</v>
      </c>
      <c r="B198">
        <v>-75.372280507966295</v>
      </c>
      <c r="C198">
        <v>21.330518521357799</v>
      </c>
      <c r="D198">
        <v>372.16219131156703</v>
      </c>
      <c r="E198" s="1" t="s">
        <v>11</v>
      </c>
      <c r="F198">
        <v>7.9413248983968998</v>
      </c>
      <c r="G198">
        <v>2.1419956107314801</v>
      </c>
      <c r="H198">
        <v>5</v>
      </c>
      <c r="I198">
        <v>73</v>
      </c>
      <c r="J198" s="1" t="s">
        <v>12</v>
      </c>
      <c r="K198" s="1" t="s">
        <v>13</v>
      </c>
    </row>
    <row r="199" spans="1:11" x14ac:dyDescent="0.3">
      <c r="A199" s="3">
        <v>44761.568298611113</v>
      </c>
      <c r="B199">
        <v>-66.305050152607393</v>
      </c>
      <c r="C199">
        <v>11.4022888925338</v>
      </c>
      <c r="D199">
        <v>1460.3595734984499</v>
      </c>
      <c r="E199" s="1" t="s">
        <v>16</v>
      </c>
      <c r="F199">
        <v>4.5425515586298602</v>
      </c>
      <c r="G199">
        <v>4.2406181522305104</v>
      </c>
      <c r="H199">
        <v>7</v>
      </c>
      <c r="I199">
        <v>37</v>
      </c>
      <c r="J199" s="1" t="s">
        <v>12</v>
      </c>
      <c r="K199" s="1" t="s">
        <v>17</v>
      </c>
    </row>
    <row r="200" spans="1:11" x14ac:dyDescent="0.3">
      <c r="A200" s="3">
        <v>44762.387546296297</v>
      </c>
      <c r="B200">
        <v>-116.249235499579</v>
      </c>
      <c r="C200">
        <v>10.5117120634547</v>
      </c>
      <c r="D200">
        <v>629.85417082815502</v>
      </c>
      <c r="E200" s="1" t="s">
        <v>16</v>
      </c>
      <c r="F200">
        <v>3.3110470394872502</v>
      </c>
      <c r="G200">
        <v>1.4758488232564699</v>
      </c>
      <c r="H200">
        <v>10</v>
      </c>
      <c r="I200">
        <v>22</v>
      </c>
      <c r="J200" s="1" t="s">
        <v>15</v>
      </c>
      <c r="K200" s="1" t="s">
        <v>13</v>
      </c>
    </row>
    <row r="201" spans="1:11" x14ac:dyDescent="0.3">
      <c r="A201" s="3">
        <v>44763.509201388886</v>
      </c>
      <c r="B201">
        <v>-95.806416896371204</v>
      </c>
      <c r="C201">
        <v>17.819603364178501</v>
      </c>
      <c r="D201">
        <v>1557.3615617431699</v>
      </c>
      <c r="E201" s="1" t="s">
        <v>18</v>
      </c>
      <c r="F201">
        <v>5.6888414857693901</v>
      </c>
      <c r="G201">
        <v>2.5264756589258699</v>
      </c>
      <c r="H201">
        <v>10</v>
      </c>
      <c r="I201">
        <v>99</v>
      </c>
      <c r="J201" s="1" t="s">
        <v>15</v>
      </c>
      <c r="K201" s="1" t="s">
        <v>17</v>
      </c>
    </row>
    <row r="202" spans="1:11" x14ac:dyDescent="0.3">
      <c r="A202" s="3">
        <v>44764.504166666666</v>
      </c>
      <c r="B202">
        <v>-76.483170329676298</v>
      </c>
      <c r="C202">
        <v>17.211186291999901</v>
      </c>
      <c r="D202">
        <v>598.69585111426102</v>
      </c>
      <c r="E202" s="1" t="s">
        <v>16</v>
      </c>
      <c r="F202">
        <v>2.4788492054870099</v>
      </c>
      <c r="G202">
        <v>1.57684473096502</v>
      </c>
      <c r="H202">
        <v>3</v>
      </c>
      <c r="I202">
        <v>84</v>
      </c>
      <c r="J202" s="1" t="s">
        <v>15</v>
      </c>
      <c r="K202" s="1" t="s">
        <v>13</v>
      </c>
    </row>
    <row r="203" spans="1:11" x14ac:dyDescent="0.3">
      <c r="A203" s="3">
        <v>44765.779826388891</v>
      </c>
      <c r="B203">
        <v>-72.146487064440905</v>
      </c>
      <c r="C203">
        <v>12.0829712668057</v>
      </c>
      <c r="D203">
        <v>1144.8317832170001</v>
      </c>
      <c r="E203" s="1" t="s">
        <v>14</v>
      </c>
      <c r="F203">
        <v>5.6964429993896903</v>
      </c>
      <c r="G203">
        <v>5.2050830294127204</v>
      </c>
      <c r="H203">
        <v>5</v>
      </c>
      <c r="I203">
        <v>61</v>
      </c>
      <c r="J203" s="1" t="s">
        <v>15</v>
      </c>
      <c r="K203" s="1" t="s">
        <v>13</v>
      </c>
    </row>
    <row r="204" spans="1:11" x14ac:dyDescent="0.3">
      <c r="A204" s="3">
        <v>44766.861203703702</v>
      </c>
      <c r="B204">
        <v>-92.905114305360598</v>
      </c>
      <c r="C204">
        <v>22.7658609696554</v>
      </c>
      <c r="D204">
        <v>1344.1108596004001</v>
      </c>
      <c r="E204" s="1" t="s">
        <v>18</v>
      </c>
      <c r="F204">
        <v>5.3867180713673699</v>
      </c>
      <c r="G204">
        <v>9.1864774166984304</v>
      </c>
      <c r="H204">
        <v>9</v>
      </c>
      <c r="I204">
        <v>36</v>
      </c>
      <c r="J204" s="1" t="s">
        <v>15</v>
      </c>
      <c r="K204" s="1" t="s">
        <v>13</v>
      </c>
    </row>
    <row r="205" spans="1:11" x14ac:dyDescent="0.3">
      <c r="A205" s="3">
        <v>44767.96199074074</v>
      </c>
      <c r="B205">
        <v>-87.866356420067206</v>
      </c>
      <c r="C205">
        <v>11.062893722543601</v>
      </c>
      <c r="D205">
        <v>649.81334582549596</v>
      </c>
      <c r="E205" s="1" t="s">
        <v>16</v>
      </c>
      <c r="F205">
        <v>4.74423342373463</v>
      </c>
      <c r="G205">
        <v>8.1594000088963803</v>
      </c>
      <c r="H205">
        <v>3</v>
      </c>
      <c r="I205">
        <v>21</v>
      </c>
      <c r="J205" s="1" t="s">
        <v>12</v>
      </c>
      <c r="K205" s="1" t="s">
        <v>13</v>
      </c>
    </row>
    <row r="206" spans="1:11" x14ac:dyDescent="0.3">
      <c r="A206" s="3">
        <v>44768.568749999999</v>
      </c>
      <c r="B206">
        <v>-101.079216957005</v>
      </c>
      <c r="C206">
        <v>17.883410917465099</v>
      </c>
      <c r="D206">
        <v>1581.4861594685999</v>
      </c>
      <c r="E206" s="1" t="s">
        <v>11</v>
      </c>
      <c r="F206">
        <v>10.506394699223501</v>
      </c>
      <c r="G206">
        <v>2.6200857637769102</v>
      </c>
      <c r="H206">
        <v>2</v>
      </c>
      <c r="I206">
        <v>95</v>
      </c>
      <c r="J206" s="1" t="s">
        <v>12</v>
      </c>
      <c r="K206" s="1" t="s">
        <v>13</v>
      </c>
    </row>
    <row r="207" spans="1:11" x14ac:dyDescent="0.3">
      <c r="A207" s="3">
        <v>44769.52008101852</v>
      </c>
      <c r="B207">
        <v>-78.478979381746598</v>
      </c>
      <c r="C207">
        <v>13.290931204868199</v>
      </c>
      <c r="D207">
        <v>759.09233393520299</v>
      </c>
      <c r="E207" s="1" t="s">
        <v>18</v>
      </c>
      <c r="F207">
        <v>3.9740160408980798</v>
      </c>
      <c r="G207">
        <v>8.1269297278057504</v>
      </c>
      <c r="H207">
        <v>10</v>
      </c>
      <c r="I207">
        <v>58</v>
      </c>
      <c r="J207" s="1" t="s">
        <v>12</v>
      </c>
      <c r="K207" s="1" t="s">
        <v>13</v>
      </c>
    </row>
    <row r="208" spans="1:11" x14ac:dyDescent="0.3">
      <c r="A208" s="3">
        <v>44770.400914351849</v>
      </c>
      <c r="B208">
        <v>-84.403315049524707</v>
      </c>
      <c r="C208">
        <v>21.383865899530701</v>
      </c>
      <c r="D208">
        <v>249.82714987017701</v>
      </c>
      <c r="E208" s="1" t="s">
        <v>14</v>
      </c>
      <c r="F208">
        <v>3.35499996469018</v>
      </c>
      <c r="G208">
        <v>5.2924165301640302</v>
      </c>
      <c r="H208">
        <v>5</v>
      </c>
      <c r="I208">
        <v>85</v>
      </c>
      <c r="J208" s="1" t="s">
        <v>12</v>
      </c>
      <c r="K208" s="1" t="s">
        <v>17</v>
      </c>
    </row>
    <row r="209" spans="1:11" x14ac:dyDescent="0.3">
      <c r="A209" s="3">
        <v>44771.523356481484</v>
      </c>
      <c r="B209">
        <v>-104.15737012556001</v>
      </c>
      <c r="C209">
        <v>21.399740608236598</v>
      </c>
      <c r="D209">
        <v>1566.8237046629099</v>
      </c>
      <c r="E209" s="1" t="s">
        <v>11</v>
      </c>
      <c r="F209">
        <v>10.2411564169833</v>
      </c>
      <c r="G209">
        <v>3.50914628395059</v>
      </c>
      <c r="H209">
        <v>2</v>
      </c>
      <c r="I209">
        <v>59</v>
      </c>
      <c r="J209" s="1" t="s">
        <v>12</v>
      </c>
      <c r="K209" s="1" t="s">
        <v>17</v>
      </c>
    </row>
    <row r="210" spans="1:11" x14ac:dyDescent="0.3">
      <c r="A210" s="3">
        <v>44772.393530092595</v>
      </c>
      <c r="B210">
        <v>-85.558642125439704</v>
      </c>
      <c r="C210">
        <v>14.3693117171444</v>
      </c>
      <c r="D210">
        <v>818.978774059937</v>
      </c>
      <c r="E210" s="1" t="s">
        <v>14</v>
      </c>
      <c r="F210">
        <v>6.9552636406403296</v>
      </c>
      <c r="G210">
        <v>4.8224319280374504</v>
      </c>
      <c r="H210">
        <v>10</v>
      </c>
      <c r="I210">
        <v>17</v>
      </c>
      <c r="J210" s="1" t="s">
        <v>12</v>
      </c>
      <c r="K210" s="1" t="s">
        <v>13</v>
      </c>
    </row>
    <row r="211" spans="1:11" x14ac:dyDescent="0.3">
      <c r="A211" s="3">
        <v>44773.934537037036</v>
      </c>
      <c r="B211">
        <v>-106.537452824574</v>
      </c>
      <c r="C211">
        <v>23.8830343428295</v>
      </c>
      <c r="D211">
        <v>1387.19022641826</v>
      </c>
      <c r="E211" s="1" t="s">
        <v>11</v>
      </c>
      <c r="F211">
        <v>5.5083532862890703</v>
      </c>
      <c r="G211">
        <v>0.83008569963679002</v>
      </c>
      <c r="H211">
        <v>9</v>
      </c>
      <c r="I211">
        <v>36</v>
      </c>
      <c r="J211" s="1" t="s">
        <v>15</v>
      </c>
      <c r="K211" s="1" t="s">
        <v>17</v>
      </c>
    </row>
    <row r="212" spans="1:11" x14ac:dyDescent="0.3">
      <c r="A212" s="3">
        <v>44774.792673611111</v>
      </c>
      <c r="B212">
        <v>-95.929371607417906</v>
      </c>
      <c r="C212">
        <v>13.2719391775221</v>
      </c>
      <c r="D212">
        <v>233.00799198094001</v>
      </c>
      <c r="E212" s="1" t="s">
        <v>11</v>
      </c>
      <c r="F212">
        <v>5.7521459195018503</v>
      </c>
      <c r="G212">
        <v>6.4376669859190603</v>
      </c>
      <c r="H212">
        <v>7</v>
      </c>
      <c r="I212">
        <v>26</v>
      </c>
      <c r="J212" s="1" t="s">
        <v>12</v>
      </c>
      <c r="K212" s="1" t="s">
        <v>17</v>
      </c>
    </row>
    <row r="213" spans="1:11" x14ac:dyDescent="0.3">
      <c r="A213" s="3">
        <v>44775.655717592592</v>
      </c>
      <c r="B213">
        <v>-79.2499671460684</v>
      </c>
      <c r="C213">
        <v>14.5847000580948</v>
      </c>
      <c r="D213">
        <v>1101.8165322477701</v>
      </c>
      <c r="E213" s="1" t="s">
        <v>18</v>
      </c>
      <c r="F213">
        <v>4.2681735298821604</v>
      </c>
      <c r="G213">
        <v>8.2147686228596193</v>
      </c>
      <c r="H213">
        <v>3</v>
      </c>
      <c r="I213">
        <v>49</v>
      </c>
      <c r="J213" s="1" t="s">
        <v>15</v>
      </c>
      <c r="K213" s="1" t="s">
        <v>17</v>
      </c>
    </row>
    <row r="214" spans="1:11" x14ac:dyDescent="0.3">
      <c r="A214" s="3">
        <v>44776.770335648151</v>
      </c>
      <c r="B214">
        <v>-81.725287550242697</v>
      </c>
      <c r="C214">
        <v>25.558093064422099</v>
      </c>
      <c r="D214">
        <v>115.745465932028</v>
      </c>
      <c r="E214" s="1" t="s">
        <v>16</v>
      </c>
      <c r="F214">
        <v>1.58333913249431</v>
      </c>
      <c r="G214">
        <v>6.24128476953367</v>
      </c>
      <c r="H214">
        <v>2</v>
      </c>
      <c r="I214">
        <v>83</v>
      </c>
      <c r="J214" s="1" t="s">
        <v>15</v>
      </c>
      <c r="K214" s="1" t="s">
        <v>17</v>
      </c>
    </row>
    <row r="215" spans="1:11" x14ac:dyDescent="0.3">
      <c r="A215" s="3">
        <v>44777.898368055554</v>
      </c>
      <c r="B215">
        <v>-68.583586426977305</v>
      </c>
      <c r="C215">
        <v>26.7564928736676</v>
      </c>
      <c r="D215">
        <v>1757.57693004211</v>
      </c>
      <c r="E215" s="1" t="s">
        <v>14</v>
      </c>
      <c r="F215">
        <v>8.1276879386442396</v>
      </c>
      <c r="G215">
        <v>1.69813879618899</v>
      </c>
      <c r="H215">
        <v>6</v>
      </c>
      <c r="I215">
        <v>86</v>
      </c>
      <c r="J215" s="1" t="s">
        <v>15</v>
      </c>
      <c r="K215" s="1" t="s">
        <v>13</v>
      </c>
    </row>
    <row r="216" spans="1:11" x14ac:dyDescent="0.3">
      <c r="A216" s="3">
        <v>44778.906458333331</v>
      </c>
      <c r="B216">
        <v>-74.012779871954393</v>
      </c>
      <c r="C216">
        <v>26.563252579845599</v>
      </c>
      <c r="D216">
        <v>1258.8522419016399</v>
      </c>
      <c r="E216" s="1" t="s">
        <v>14</v>
      </c>
      <c r="F216">
        <v>4.6261709981492496</v>
      </c>
      <c r="G216">
        <v>3.3311062084065002</v>
      </c>
      <c r="H216">
        <v>4</v>
      </c>
      <c r="I216">
        <v>2</v>
      </c>
      <c r="J216" s="1" t="s">
        <v>15</v>
      </c>
      <c r="K216" s="1" t="s">
        <v>17</v>
      </c>
    </row>
    <row r="217" spans="1:11" x14ac:dyDescent="0.3">
      <c r="A217" s="3">
        <v>44779.590104166666</v>
      </c>
      <c r="B217">
        <v>-79.023859905930095</v>
      </c>
      <c r="C217">
        <v>19.394780916088401</v>
      </c>
      <c r="D217">
        <v>1208.5072211076199</v>
      </c>
      <c r="E217" s="1" t="s">
        <v>14</v>
      </c>
      <c r="F217">
        <v>7.9288509017195299</v>
      </c>
      <c r="G217">
        <v>2.9158901789701002</v>
      </c>
      <c r="H217">
        <v>5</v>
      </c>
      <c r="I217">
        <v>13</v>
      </c>
      <c r="J217" s="1" t="s">
        <v>15</v>
      </c>
      <c r="K217" s="1" t="s">
        <v>17</v>
      </c>
    </row>
    <row r="218" spans="1:11" x14ac:dyDescent="0.3">
      <c r="A218" s="3">
        <v>44780.812951388885</v>
      </c>
      <c r="B218">
        <v>-107.311311235402</v>
      </c>
      <c r="C218">
        <v>11.4834573647216</v>
      </c>
      <c r="D218">
        <v>303.11097296520097</v>
      </c>
      <c r="E218" s="1" t="s">
        <v>11</v>
      </c>
      <c r="F218">
        <v>8.4895978309386706</v>
      </c>
      <c r="G218">
        <v>9.4576636915569807</v>
      </c>
      <c r="H218">
        <v>2</v>
      </c>
      <c r="I218">
        <v>2</v>
      </c>
      <c r="J218" s="1" t="s">
        <v>15</v>
      </c>
      <c r="K218" s="1" t="s">
        <v>17</v>
      </c>
    </row>
    <row r="219" spans="1:11" x14ac:dyDescent="0.3">
      <c r="A219" s="3">
        <v>44781.787881944445</v>
      </c>
      <c r="B219">
        <v>-90.562219600207001</v>
      </c>
      <c r="C219">
        <v>17.968543962834399</v>
      </c>
      <c r="D219">
        <v>53.938743116276903</v>
      </c>
      <c r="E219" s="1" t="s">
        <v>11</v>
      </c>
      <c r="F219">
        <v>6.9699774905019103</v>
      </c>
      <c r="G219">
        <v>6.8149733017234002</v>
      </c>
      <c r="H219">
        <v>2</v>
      </c>
      <c r="I219">
        <v>26</v>
      </c>
      <c r="J219" s="1" t="s">
        <v>12</v>
      </c>
      <c r="K219" s="1" t="s">
        <v>17</v>
      </c>
    </row>
    <row r="220" spans="1:11" x14ac:dyDescent="0.3">
      <c r="A220" s="3">
        <v>44782.395300925928</v>
      </c>
      <c r="B220">
        <v>-64.009828111672903</v>
      </c>
      <c r="C220">
        <v>19.922964894685201</v>
      </c>
      <c r="D220">
        <v>1025.1185192302401</v>
      </c>
      <c r="E220" s="1" t="s">
        <v>16</v>
      </c>
      <c r="F220">
        <v>2.5910868711122301</v>
      </c>
      <c r="G220">
        <v>7.7633354221444204</v>
      </c>
      <c r="H220">
        <v>9</v>
      </c>
      <c r="I220">
        <v>52</v>
      </c>
      <c r="J220" s="1" t="s">
        <v>12</v>
      </c>
      <c r="K220" s="1" t="s">
        <v>13</v>
      </c>
    </row>
    <row r="221" spans="1:11" x14ac:dyDescent="0.3">
      <c r="A221" s="3">
        <v>44783.865601851852</v>
      </c>
      <c r="B221">
        <v>-80.995828086688206</v>
      </c>
      <c r="C221">
        <v>16.256306705363698</v>
      </c>
      <c r="D221">
        <v>55.893835315479599</v>
      </c>
      <c r="E221" s="1" t="s">
        <v>14</v>
      </c>
      <c r="F221">
        <v>1.7964577223074101</v>
      </c>
      <c r="G221">
        <v>7.4544450102916704</v>
      </c>
      <c r="H221">
        <v>4</v>
      </c>
      <c r="I221">
        <v>95</v>
      </c>
      <c r="J221" s="1" t="s">
        <v>15</v>
      </c>
      <c r="K221" s="1" t="s">
        <v>17</v>
      </c>
    </row>
    <row r="222" spans="1:11" x14ac:dyDescent="0.3">
      <c r="A222" s="3">
        <v>44784.974456018521</v>
      </c>
      <c r="B222">
        <v>-81.568324513197794</v>
      </c>
      <c r="C222">
        <v>12.0639372489415</v>
      </c>
      <c r="D222">
        <v>569.94237120957496</v>
      </c>
      <c r="E222" s="1" t="s">
        <v>18</v>
      </c>
      <c r="F222">
        <v>5.2893430911758497</v>
      </c>
      <c r="G222">
        <v>3.7657165715824901</v>
      </c>
      <c r="H222">
        <v>7</v>
      </c>
      <c r="I222">
        <v>58</v>
      </c>
      <c r="J222" s="1" t="s">
        <v>12</v>
      </c>
      <c r="K222" s="1" t="s">
        <v>13</v>
      </c>
    </row>
    <row r="223" spans="1:11" x14ac:dyDescent="0.3">
      <c r="A223" s="3">
        <v>44785.519050925926</v>
      </c>
      <c r="B223">
        <v>-93.751824622784596</v>
      </c>
      <c r="C223">
        <v>14.674092983208199</v>
      </c>
      <c r="D223">
        <v>25.851171562504799</v>
      </c>
      <c r="E223" s="1" t="s">
        <v>16</v>
      </c>
      <c r="F223">
        <v>1.6072146392136399</v>
      </c>
      <c r="G223">
        <v>0.53486485114578497</v>
      </c>
      <c r="H223">
        <v>5</v>
      </c>
      <c r="I223">
        <v>38</v>
      </c>
      <c r="J223" s="1" t="s">
        <v>15</v>
      </c>
      <c r="K223" s="1" t="s">
        <v>13</v>
      </c>
    </row>
    <row r="224" spans="1:11" x14ac:dyDescent="0.3">
      <c r="A224" s="3">
        <v>44786.613437499997</v>
      </c>
      <c r="B224">
        <v>-90.745060558256398</v>
      </c>
      <c r="C224">
        <v>23.777474532520301</v>
      </c>
      <c r="D224">
        <v>1090.8530328157599</v>
      </c>
      <c r="E224" s="1" t="s">
        <v>16</v>
      </c>
      <c r="F224">
        <v>0.35276301322711701</v>
      </c>
      <c r="G224">
        <v>6.0162106035345397</v>
      </c>
      <c r="H224">
        <v>5</v>
      </c>
      <c r="I224">
        <v>80</v>
      </c>
      <c r="J224" s="1" t="s">
        <v>15</v>
      </c>
      <c r="K224" s="1" t="s">
        <v>13</v>
      </c>
    </row>
    <row r="225" spans="1:11" x14ac:dyDescent="0.3">
      <c r="A225" s="3">
        <v>44787.649641203701</v>
      </c>
      <c r="B225">
        <v>-80.817551768260699</v>
      </c>
      <c r="C225">
        <v>16.847726196972399</v>
      </c>
      <c r="D225">
        <v>1411.1299803313</v>
      </c>
      <c r="E225" s="1" t="s">
        <v>11</v>
      </c>
      <c r="F225">
        <v>6.0427706902216096</v>
      </c>
      <c r="G225">
        <v>3.1495681295488298</v>
      </c>
      <c r="H225">
        <v>6</v>
      </c>
      <c r="I225">
        <v>34</v>
      </c>
      <c r="J225" s="1" t="s">
        <v>15</v>
      </c>
      <c r="K225" s="1" t="s">
        <v>17</v>
      </c>
    </row>
    <row r="226" spans="1:11" x14ac:dyDescent="0.3">
      <c r="A226" s="3">
        <v>44788.768113425926</v>
      </c>
      <c r="B226">
        <v>-58.696050469137496</v>
      </c>
      <c r="C226">
        <v>18.504645875761501</v>
      </c>
      <c r="D226">
        <v>418.73120980889098</v>
      </c>
      <c r="E226" s="1" t="s">
        <v>16</v>
      </c>
      <c r="F226">
        <v>2.70007544215103</v>
      </c>
      <c r="G226">
        <v>8.9107879705197401</v>
      </c>
      <c r="H226">
        <v>10</v>
      </c>
      <c r="I226">
        <v>89</v>
      </c>
      <c r="J226" s="1" t="s">
        <v>12</v>
      </c>
      <c r="K226" s="1" t="s">
        <v>17</v>
      </c>
    </row>
    <row r="227" spans="1:11" x14ac:dyDescent="0.3">
      <c r="A227" s="3">
        <v>44789.657800925925</v>
      </c>
      <c r="B227">
        <v>-82.060041213528393</v>
      </c>
      <c r="C227">
        <v>15.358977760609701</v>
      </c>
      <c r="D227">
        <v>334.56328289003397</v>
      </c>
      <c r="E227" s="1" t="s">
        <v>16</v>
      </c>
      <c r="F227">
        <v>0.99201761872994298</v>
      </c>
      <c r="G227">
        <v>0.24229196550510501</v>
      </c>
      <c r="H227">
        <v>2</v>
      </c>
      <c r="I227">
        <v>50</v>
      </c>
      <c r="J227" s="1" t="s">
        <v>15</v>
      </c>
      <c r="K227" s="1" t="s">
        <v>17</v>
      </c>
    </row>
    <row r="228" spans="1:11" x14ac:dyDescent="0.3">
      <c r="A228" s="3">
        <v>44790.856400462966</v>
      </c>
      <c r="B228">
        <v>-73.964969836322794</v>
      </c>
      <c r="C228">
        <v>17.581157666354599</v>
      </c>
      <c r="D228">
        <v>11.520903607716701</v>
      </c>
      <c r="E228" s="1" t="s">
        <v>16</v>
      </c>
      <c r="F228">
        <v>0.362559994759866</v>
      </c>
      <c r="G228">
        <v>6.7261744759025097</v>
      </c>
      <c r="H228">
        <v>3</v>
      </c>
      <c r="I228">
        <v>34</v>
      </c>
      <c r="J228" s="1" t="s">
        <v>15</v>
      </c>
      <c r="K228" s="1" t="s">
        <v>17</v>
      </c>
    </row>
    <row r="229" spans="1:11" x14ac:dyDescent="0.3">
      <c r="A229" s="3">
        <v>44791.498472222222</v>
      </c>
      <c r="B229">
        <v>-85.564230076920495</v>
      </c>
      <c r="C229">
        <v>15.4331632806584</v>
      </c>
      <c r="D229">
        <v>1129.14503067494</v>
      </c>
      <c r="E229" s="1" t="s">
        <v>11</v>
      </c>
      <c r="F229">
        <v>6.0488444507407202</v>
      </c>
      <c r="G229">
        <v>6.4759879184928399</v>
      </c>
      <c r="H229">
        <v>1</v>
      </c>
      <c r="I229">
        <v>38</v>
      </c>
      <c r="J229" s="1" t="s">
        <v>12</v>
      </c>
      <c r="K229" s="1" t="s">
        <v>17</v>
      </c>
    </row>
    <row r="230" spans="1:11" x14ac:dyDescent="0.3">
      <c r="A230" s="3">
        <v>44792.507094907407</v>
      </c>
      <c r="B230">
        <v>-60.439364006101798</v>
      </c>
      <c r="C230">
        <v>12.1027751447618</v>
      </c>
      <c r="D230">
        <v>1272.9378664389801</v>
      </c>
      <c r="E230" s="1" t="s">
        <v>14</v>
      </c>
      <c r="F230">
        <v>6.71700097740466</v>
      </c>
      <c r="G230">
        <v>9.6014189139814601</v>
      </c>
      <c r="H230">
        <v>3</v>
      </c>
      <c r="I230">
        <v>80</v>
      </c>
      <c r="J230" s="1" t="s">
        <v>12</v>
      </c>
      <c r="K230" s="1" t="s">
        <v>13</v>
      </c>
    </row>
    <row r="231" spans="1:11" x14ac:dyDescent="0.3">
      <c r="A231" s="3">
        <v>44793.576006944444</v>
      </c>
      <c r="B231">
        <v>-65.049830174799894</v>
      </c>
      <c r="C231">
        <v>27.476888151041798</v>
      </c>
      <c r="D231">
        <v>1592.3295626009501</v>
      </c>
      <c r="E231" s="1" t="s">
        <v>18</v>
      </c>
      <c r="F231">
        <v>6.1764134679242799</v>
      </c>
      <c r="G231">
        <v>5.60820497153298</v>
      </c>
      <c r="H231">
        <v>7</v>
      </c>
      <c r="I231">
        <v>61</v>
      </c>
      <c r="J231" s="1" t="s">
        <v>12</v>
      </c>
      <c r="K231" s="1" t="s">
        <v>13</v>
      </c>
    </row>
    <row r="232" spans="1:11" x14ac:dyDescent="0.3">
      <c r="A232" s="3">
        <v>44794.809756944444</v>
      </c>
      <c r="B232">
        <v>-70.8260714813091</v>
      </c>
      <c r="C232">
        <v>15.8181749512925</v>
      </c>
      <c r="D232">
        <v>384.96782815083702</v>
      </c>
      <c r="E232" s="1" t="s">
        <v>18</v>
      </c>
      <c r="F232">
        <v>4.33629741326315</v>
      </c>
      <c r="G232">
        <v>8.0201443318938104</v>
      </c>
      <c r="H232">
        <v>10</v>
      </c>
      <c r="I232">
        <v>70</v>
      </c>
      <c r="J232" s="1" t="s">
        <v>12</v>
      </c>
      <c r="K232" s="1" t="s">
        <v>13</v>
      </c>
    </row>
    <row r="233" spans="1:11" x14ac:dyDescent="0.3">
      <c r="A233" s="3">
        <v>44795.504108796296</v>
      </c>
      <c r="B233">
        <v>-84.217632881998895</v>
      </c>
      <c r="C233">
        <v>21.249552167155201</v>
      </c>
      <c r="D233">
        <v>889.09866430181796</v>
      </c>
      <c r="E233" s="1" t="s">
        <v>14</v>
      </c>
      <c r="F233">
        <v>5.0771689506086801</v>
      </c>
      <c r="G233">
        <v>5.2074395143618597</v>
      </c>
      <c r="H233">
        <v>4</v>
      </c>
      <c r="I233">
        <v>70</v>
      </c>
      <c r="J233" s="1" t="s">
        <v>12</v>
      </c>
      <c r="K233" s="1" t="s">
        <v>17</v>
      </c>
    </row>
    <row r="234" spans="1:11" x14ac:dyDescent="0.3">
      <c r="A234" s="3">
        <v>44796.890069444446</v>
      </c>
      <c r="B234">
        <v>-81.844370912972295</v>
      </c>
      <c r="C234">
        <v>13.867640646742201</v>
      </c>
      <c r="D234">
        <v>188.02565515284601</v>
      </c>
      <c r="E234" s="1" t="s">
        <v>14</v>
      </c>
      <c r="F234">
        <v>1.9501751534728999</v>
      </c>
      <c r="G234">
        <v>8.6081124610691901</v>
      </c>
      <c r="H234">
        <v>5</v>
      </c>
      <c r="I234">
        <v>35</v>
      </c>
      <c r="J234" s="1" t="s">
        <v>15</v>
      </c>
      <c r="K234" s="1" t="s">
        <v>17</v>
      </c>
    </row>
    <row r="235" spans="1:11" x14ac:dyDescent="0.3">
      <c r="A235" s="3">
        <v>44797.761840277781</v>
      </c>
      <c r="B235">
        <v>-101.980452531976</v>
      </c>
      <c r="C235">
        <v>19.003484099528698</v>
      </c>
      <c r="D235">
        <v>265.11333868168799</v>
      </c>
      <c r="E235" s="1" t="s">
        <v>11</v>
      </c>
      <c r="F235">
        <v>9.9308660651887894</v>
      </c>
      <c r="G235">
        <v>4.6556197059191904</v>
      </c>
      <c r="H235">
        <v>9</v>
      </c>
      <c r="I235">
        <v>19</v>
      </c>
      <c r="J235" s="1" t="s">
        <v>12</v>
      </c>
      <c r="K235" s="1" t="s">
        <v>13</v>
      </c>
    </row>
    <row r="236" spans="1:11" x14ac:dyDescent="0.3">
      <c r="A236" s="3">
        <v>44798.434895833336</v>
      </c>
      <c r="B236">
        <v>-113.173551608556</v>
      </c>
      <c r="C236">
        <v>24.705311177175201</v>
      </c>
      <c r="D236">
        <v>1479.9147363438301</v>
      </c>
      <c r="E236" s="1" t="s">
        <v>16</v>
      </c>
      <c r="F236">
        <v>0.34099671397496401</v>
      </c>
      <c r="G236">
        <v>8.0393066205984596</v>
      </c>
      <c r="H236">
        <v>9</v>
      </c>
      <c r="I236">
        <v>73</v>
      </c>
      <c r="J236" s="1" t="s">
        <v>12</v>
      </c>
      <c r="K236" s="1" t="s">
        <v>17</v>
      </c>
    </row>
    <row r="237" spans="1:11" x14ac:dyDescent="0.3">
      <c r="A237" s="3">
        <v>44799.840127314812</v>
      </c>
      <c r="B237">
        <v>-53.454848025856698</v>
      </c>
      <c r="C237">
        <v>23.423248617063098</v>
      </c>
      <c r="D237">
        <v>1151.8213536424601</v>
      </c>
      <c r="E237" s="1" t="s">
        <v>16</v>
      </c>
      <c r="F237">
        <v>2.1673795070297901</v>
      </c>
      <c r="G237">
        <v>9.0306131256803894</v>
      </c>
      <c r="H237">
        <v>3</v>
      </c>
      <c r="I237">
        <v>24</v>
      </c>
      <c r="J237" s="1" t="s">
        <v>12</v>
      </c>
      <c r="K237" s="1" t="s">
        <v>13</v>
      </c>
    </row>
    <row r="238" spans="1:11" x14ac:dyDescent="0.3">
      <c r="A238" s="3">
        <v>44800.980740740742</v>
      </c>
      <c r="B238">
        <v>-96.921167539882802</v>
      </c>
      <c r="C238">
        <v>18.304822815899598</v>
      </c>
      <c r="D238">
        <v>447.38782345465802</v>
      </c>
      <c r="E238" s="1" t="s">
        <v>18</v>
      </c>
      <c r="F238">
        <v>6.7419781011504902</v>
      </c>
      <c r="G238">
        <v>3.9000735899332599</v>
      </c>
      <c r="H238">
        <v>4</v>
      </c>
      <c r="I238">
        <v>55</v>
      </c>
      <c r="J238" s="1" t="s">
        <v>12</v>
      </c>
      <c r="K238" s="1" t="s">
        <v>17</v>
      </c>
    </row>
    <row r="239" spans="1:11" x14ac:dyDescent="0.3">
      <c r="A239" s="3">
        <v>44801.593449074076</v>
      </c>
      <c r="B239">
        <v>-75.031892855566596</v>
      </c>
      <c r="C239">
        <v>24.744161107061899</v>
      </c>
      <c r="D239">
        <v>1615.49091264307</v>
      </c>
      <c r="E239" s="1" t="s">
        <v>16</v>
      </c>
      <c r="F239">
        <v>1.90649756115319</v>
      </c>
      <c r="G239">
        <v>1.0157239148608801</v>
      </c>
      <c r="H239">
        <v>3</v>
      </c>
      <c r="I239">
        <v>51</v>
      </c>
      <c r="J239" s="1" t="s">
        <v>15</v>
      </c>
      <c r="K239" s="1" t="s">
        <v>17</v>
      </c>
    </row>
    <row r="240" spans="1:11" x14ac:dyDescent="0.3">
      <c r="A240" s="3">
        <v>44802.558159722219</v>
      </c>
      <c r="B240">
        <v>-51.967553937419702</v>
      </c>
      <c r="C240">
        <v>16.9151725883175</v>
      </c>
      <c r="D240">
        <v>1013.2835149653</v>
      </c>
      <c r="E240" s="1" t="s">
        <v>16</v>
      </c>
      <c r="F240">
        <v>2.6064236871988999</v>
      </c>
      <c r="G240">
        <v>6.9735272844960896</v>
      </c>
      <c r="H240">
        <v>3</v>
      </c>
      <c r="I240">
        <v>6</v>
      </c>
      <c r="J240" s="1" t="s">
        <v>12</v>
      </c>
      <c r="K240" s="1" t="s">
        <v>13</v>
      </c>
    </row>
    <row r="241" spans="1:11" x14ac:dyDescent="0.3">
      <c r="A241" s="3">
        <v>44803.601631944446</v>
      </c>
      <c r="B241">
        <v>-91.845743915622194</v>
      </c>
      <c r="C241">
        <v>20.5406432903739</v>
      </c>
      <c r="D241">
        <v>115.85791888400399</v>
      </c>
      <c r="E241" s="1" t="s">
        <v>16</v>
      </c>
      <c r="F241">
        <v>2.8107474355699398</v>
      </c>
      <c r="G241">
        <v>2.3728580354383602</v>
      </c>
      <c r="H241">
        <v>7</v>
      </c>
      <c r="I241">
        <v>6</v>
      </c>
      <c r="J241" s="1" t="s">
        <v>12</v>
      </c>
      <c r="K241" s="1" t="s">
        <v>17</v>
      </c>
    </row>
    <row r="242" spans="1:11" x14ac:dyDescent="0.3">
      <c r="A242" s="3">
        <v>44804.439131944448</v>
      </c>
      <c r="B242">
        <v>-98.229945720190798</v>
      </c>
      <c r="C242">
        <v>14.0839173019446</v>
      </c>
      <c r="D242">
        <v>484.05119972175498</v>
      </c>
      <c r="E242" s="1" t="s">
        <v>16</v>
      </c>
      <c r="F242">
        <v>3.8351790228661899</v>
      </c>
      <c r="G242">
        <v>2.4663347477392401</v>
      </c>
      <c r="H242">
        <v>1</v>
      </c>
      <c r="I242">
        <v>65</v>
      </c>
      <c r="J242" s="1" t="s">
        <v>12</v>
      </c>
      <c r="K242" s="1" t="s">
        <v>17</v>
      </c>
    </row>
    <row r="243" spans="1:11" x14ac:dyDescent="0.3">
      <c r="A243" s="3">
        <v>44805.519120370373</v>
      </c>
      <c r="B243">
        <v>-97.376020431881599</v>
      </c>
      <c r="C243">
        <v>18.3115956918774</v>
      </c>
      <c r="D243">
        <v>1398.5302949100001</v>
      </c>
      <c r="E243" s="1" t="s">
        <v>11</v>
      </c>
      <c r="F243">
        <v>5.1447415240683902</v>
      </c>
      <c r="G243">
        <v>2.0142194777130902</v>
      </c>
      <c r="H243">
        <v>7</v>
      </c>
      <c r="I243">
        <v>78</v>
      </c>
      <c r="J243" s="1" t="s">
        <v>12</v>
      </c>
      <c r="K243" s="1" t="s">
        <v>13</v>
      </c>
    </row>
    <row r="244" spans="1:11" x14ac:dyDescent="0.3">
      <c r="A244" s="3">
        <v>44806.522002314814</v>
      </c>
      <c r="B244">
        <v>-86.453657492678403</v>
      </c>
      <c r="C244">
        <v>10.494990427175701</v>
      </c>
      <c r="D244">
        <v>695.35964669111502</v>
      </c>
      <c r="E244" s="1" t="s">
        <v>11</v>
      </c>
      <c r="F244">
        <v>13.3285434094607</v>
      </c>
      <c r="G244">
        <v>9.6142384974631803</v>
      </c>
      <c r="H244">
        <v>5</v>
      </c>
      <c r="I244">
        <v>53</v>
      </c>
      <c r="J244" s="1" t="s">
        <v>15</v>
      </c>
      <c r="K244" s="1" t="s">
        <v>13</v>
      </c>
    </row>
    <row r="245" spans="1:11" x14ac:dyDescent="0.3">
      <c r="A245" s="3">
        <v>44807.421620370369</v>
      </c>
      <c r="B245">
        <v>-85.136104742128396</v>
      </c>
      <c r="C245">
        <v>13.4135777968902</v>
      </c>
      <c r="D245">
        <v>978.84987698774603</v>
      </c>
      <c r="E245" s="1" t="s">
        <v>11</v>
      </c>
      <c r="F245">
        <v>5.5730764271497604</v>
      </c>
      <c r="G245">
        <v>7.9325753138156898</v>
      </c>
      <c r="H245">
        <v>5</v>
      </c>
      <c r="I245">
        <v>53</v>
      </c>
      <c r="J245" s="1" t="s">
        <v>12</v>
      </c>
      <c r="K245" s="1" t="s">
        <v>13</v>
      </c>
    </row>
    <row r="246" spans="1:11" x14ac:dyDescent="0.3">
      <c r="A246" s="3">
        <v>44808.77716435185</v>
      </c>
      <c r="B246">
        <v>-98.397535633766097</v>
      </c>
      <c r="C246">
        <v>28.510916234862499</v>
      </c>
      <c r="D246">
        <v>433.25220185486597</v>
      </c>
      <c r="E246" s="1" t="s">
        <v>18</v>
      </c>
      <c r="F246">
        <v>2.8802211590689999</v>
      </c>
      <c r="G246">
        <v>3.46409177521112</v>
      </c>
      <c r="H246">
        <v>10</v>
      </c>
      <c r="I246">
        <v>63</v>
      </c>
      <c r="J246" s="1" t="s">
        <v>12</v>
      </c>
      <c r="K246" s="1" t="s">
        <v>13</v>
      </c>
    </row>
    <row r="247" spans="1:11" x14ac:dyDescent="0.3">
      <c r="A247" s="3">
        <v>44809.979178240741</v>
      </c>
      <c r="B247">
        <v>-73.199709644521803</v>
      </c>
      <c r="C247">
        <v>28.567207003859401</v>
      </c>
      <c r="D247">
        <v>56.067844896201201</v>
      </c>
      <c r="E247" s="1" t="s">
        <v>14</v>
      </c>
      <c r="F247">
        <v>1.16781399904817</v>
      </c>
      <c r="G247">
        <v>4.04917128836553</v>
      </c>
      <c r="H247">
        <v>10</v>
      </c>
      <c r="I247">
        <v>77</v>
      </c>
      <c r="J247" s="1" t="s">
        <v>12</v>
      </c>
      <c r="K247" s="1" t="s">
        <v>13</v>
      </c>
    </row>
    <row r="248" spans="1:11" x14ac:dyDescent="0.3">
      <c r="A248" s="3">
        <v>44810.812974537039</v>
      </c>
      <c r="B248">
        <v>-94.156252628956096</v>
      </c>
      <c r="C248">
        <v>16.717302463385799</v>
      </c>
      <c r="D248">
        <v>1018.50937545183</v>
      </c>
      <c r="E248" s="1" t="s">
        <v>18</v>
      </c>
      <c r="F248">
        <v>6.2224821976401303</v>
      </c>
      <c r="G248">
        <v>8.6883325052074607</v>
      </c>
      <c r="H248">
        <v>4</v>
      </c>
      <c r="I248">
        <v>13</v>
      </c>
      <c r="J248" s="1" t="s">
        <v>15</v>
      </c>
      <c r="K248" s="1" t="s">
        <v>13</v>
      </c>
    </row>
    <row r="249" spans="1:11" x14ac:dyDescent="0.3">
      <c r="A249" s="3">
        <v>44811.937511574077</v>
      </c>
      <c r="B249">
        <v>-75.528280528885105</v>
      </c>
      <c r="C249">
        <v>16.0915286195658</v>
      </c>
      <c r="D249">
        <v>1692.6467982403699</v>
      </c>
      <c r="E249" s="1" t="s">
        <v>11</v>
      </c>
      <c r="F249">
        <v>7.83490097507228</v>
      </c>
      <c r="G249">
        <v>5.4530677031772496</v>
      </c>
      <c r="H249">
        <v>6</v>
      </c>
      <c r="I249">
        <v>55</v>
      </c>
      <c r="J249" s="1" t="s">
        <v>12</v>
      </c>
      <c r="K249" s="1" t="s">
        <v>13</v>
      </c>
    </row>
    <row r="250" spans="1:11" x14ac:dyDescent="0.3">
      <c r="A250" s="3">
        <v>44812.800069444442</v>
      </c>
      <c r="B250">
        <v>-92.043712730421703</v>
      </c>
      <c r="C250">
        <v>21.852944608460302</v>
      </c>
      <c r="D250">
        <v>1063.97695648233</v>
      </c>
      <c r="E250" s="1" t="s">
        <v>18</v>
      </c>
      <c r="F250">
        <v>4.34842836428603</v>
      </c>
      <c r="G250">
        <v>2.82886818163654</v>
      </c>
      <c r="H250">
        <v>4</v>
      </c>
      <c r="I250">
        <v>78</v>
      </c>
      <c r="J250" s="1" t="s">
        <v>12</v>
      </c>
      <c r="K250" s="1" t="s">
        <v>17</v>
      </c>
    </row>
    <row r="251" spans="1:11" x14ac:dyDescent="0.3">
      <c r="A251" s="3">
        <v>44813.906759259262</v>
      </c>
      <c r="B251">
        <v>-71.310143551426407</v>
      </c>
      <c r="C251">
        <v>28.617063793668599</v>
      </c>
      <c r="D251">
        <v>1266.2516119115701</v>
      </c>
      <c r="E251" s="1" t="s">
        <v>18</v>
      </c>
      <c r="F251">
        <v>3.5704522578940101</v>
      </c>
      <c r="G251">
        <v>2.7095037877009598</v>
      </c>
      <c r="H251">
        <v>7</v>
      </c>
      <c r="I251">
        <v>96</v>
      </c>
      <c r="J251" s="1" t="s">
        <v>15</v>
      </c>
      <c r="K251" s="1" t="s">
        <v>13</v>
      </c>
    </row>
    <row r="252" spans="1:11" x14ac:dyDescent="0.3">
      <c r="A252" s="3">
        <v>44814.893460648149</v>
      </c>
      <c r="B252">
        <v>-72.896837516281707</v>
      </c>
      <c r="C252">
        <v>12.0321542263944</v>
      </c>
      <c r="D252">
        <v>940.52224390657602</v>
      </c>
      <c r="E252" s="1" t="s">
        <v>16</v>
      </c>
      <c r="F252">
        <v>1.4570876342052099</v>
      </c>
      <c r="G252">
        <v>5.8625143519134904</v>
      </c>
      <c r="H252">
        <v>5</v>
      </c>
      <c r="I252">
        <v>81</v>
      </c>
      <c r="J252" s="1" t="s">
        <v>12</v>
      </c>
      <c r="K252" s="1" t="s">
        <v>13</v>
      </c>
    </row>
    <row r="253" spans="1:11" x14ac:dyDescent="0.3">
      <c r="A253" s="3">
        <v>44815.785208333335</v>
      </c>
      <c r="B253">
        <v>-76.5589303709191</v>
      </c>
      <c r="C253">
        <v>29.634486279510899</v>
      </c>
      <c r="D253">
        <v>968.74998645802305</v>
      </c>
      <c r="E253" s="1" t="s">
        <v>16</v>
      </c>
      <c r="F253">
        <v>2.3770306471390699</v>
      </c>
      <c r="G253">
        <v>4.4107535665648196</v>
      </c>
      <c r="H253">
        <v>2</v>
      </c>
      <c r="I253">
        <v>28</v>
      </c>
      <c r="J253" s="1" t="s">
        <v>15</v>
      </c>
      <c r="K253" s="1" t="s">
        <v>17</v>
      </c>
    </row>
    <row r="254" spans="1:11" x14ac:dyDescent="0.3">
      <c r="A254" s="3">
        <v>44816.410520833335</v>
      </c>
      <c r="B254">
        <v>-93.576836956074203</v>
      </c>
      <c r="C254">
        <v>17.149120549447801</v>
      </c>
      <c r="D254">
        <v>931.05792122933894</v>
      </c>
      <c r="E254" s="1" t="s">
        <v>18</v>
      </c>
      <c r="F254">
        <v>3.1683801920778198</v>
      </c>
      <c r="G254">
        <v>1.61295062771144</v>
      </c>
      <c r="H254">
        <v>1</v>
      </c>
      <c r="I254">
        <v>40</v>
      </c>
      <c r="J254" s="1" t="s">
        <v>12</v>
      </c>
      <c r="K254" s="1" t="s">
        <v>13</v>
      </c>
    </row>
    <row r="255" spans="1:11" x14ac:dyDescent="0.3">
      <c r="A255" s="3">
        <v>44817.980995370373</v>
      </c>
      <c r="B255">
        <v>-76.227942753385193</v>
      </c>
      <c r="C255">
        <v>12.518256488394201</v>
      </c>
      <c r="D255">
        <v>1415.0100124471001</v>
      </c>
      <c r="E255" s="1" t="s">
        <v>16</v>
      </c>
      <c r="F255">
        <v>2.0892660578493798</v>
      </c>
      <c r="G255">
        <v>0.41052416076548898</v>
      </c>
      <c r="H255">
        <v>9</v>
      </c>
      <c r="I255">
        <v>70</v>
      </c>
      <c r="J255" s="1" t="s">
        <v>12</v>
      </c>
      <c r="K255" s="1" t="s">
        <v>13</v>
      </c>
    </row>
    <row r="256" spans="1:11" x14ac:dyDescent="0.3">
      <c r="A256" s="3">
        <v>44818.755057870374</v>
      </c>
      <c r="B256">
        <v>-74.226289699833799</v>
      </c>
      <c r="C256">
        <v>23.322659573126199</v>
      </c>
      <c r="D256">
        <v>1731.7737531155601</v>
      </c>
      <c r="E256" s="1" t="s">
        <v>14</v>
      </c>
      <c r="F256">
        <v>3.3432161440894901</v>
      </c>
      <c r="G256">
        <v>9.7691366069418297</v>
      </c>
      <c r="H256">
        <v>6</v>
      </c>
      <c r="I256">
        <v>16</v>
      </c>
      <c r="J256" s="1" t="s">
        <v>15</v>
      </c>
      <c r="K256" s="1" t="s">
        <v>17</v>
      </c>
    </row>
    <row r="257" spans="1:11" x14ac:dyDescent="0.3">
      <c r="A257" s="3">
        <v>44819.939270833333</v>
      </c>
      <c r="B257">
        <v>-73.870507343724697</v>
      </c>
      <c r="C257">
        <v>16.8554648845621</v>
      </c>
      <c r="D257">
        <v>903.93005481489297</v>
      </c>
      <c r="E257" s="1" t="s">
        <v>11</v>
      </c>
      <c r="F257">
        <v>5.5162173008536097</v>
      </c>
      <c r="G257">
        <v>2.47112291648319</v>
      </c>
      <c r="H257">
        <v>1</v>
      </c>
      <c r="I257">
        <v>82</v>
      </c>
      <c r="J257" s="1" t="s">
        <v>12</v>
      </c>
      <c r="K257" s="1" t="s">
        <v>17</v>
      </c>
    </row>
    <row r="258" spans="1:11" x14ac:dyDescent="0.3">
      <c r="A258" s="3">
        <v>44820.893472222226</v>
      </c>
      <c r="B258">
        <v>-92.561853691772598</v>
      </c>
      <c r="C258">
        <v>24.288313269346698</v>
      </c>
      <c r="D258">
        <v>1104.9500699079199</v>
      </c>
      <c r="E258" s="1" t="s">
        <v>11</v>
      </c>
      <c r="F258">
        <v>14.850276779704499</v>
      </c>
      <c r="G258">
        <v>2.69325561071263</v>
      </c>
      <c r="H258">
        <v>1</v>
      </c>
      <c r="I258">
        <v>83</v>
      </c>
      <c r="J258" s="1" t="s">
        <v>12</v>
      </c>
      <c r="K258" s="1" t="s">
        <v>13</v>
      </c>
    </row>
    <row r="259" spans="1:11" x14ac:dyDescent="0.3">
      <c r="A259" s="3">
        <v>44821.561736111114</v>
      </c>
      <c r="B259">
        <v>-68.623076263170802</v>
      </c>
      <c r="C259">
        <v>26.067287635446799</v>
      </c>
      <c r="D259">
        <v>231.53529268828899</v>
      </c>
      <c r="E259" s="1" t="s">
        <v>16</v>
      </c>
      <c r="F259">
        <v>1.3453079960418</v>
      </c>
      <c r="G259">
        <v>2.5840515765677199</v>
      </c>
      <c r="H259">
        <v>6</v>
      </c>
      <c r="I259">
        <v>57</v>
      </c>
      <c r="J259" s="1" t="s">
        <v>12</v>
      </c>
      <c r="K259" s="1" t="s">
        <v>17</v>
      </c>
    </row>
    <row r="260" spans="1:11" x14ac:dyDescent="0.3">
      <c r="A260" s="3">
        <v>44822.597418981481</v>
      </c>
      <c r="B260">
        <v>-88.641244667711604</v>
      </c>
      <c r="C260">
        <v>27.921755147472702</v>
      </c>
      <c r="D260">
        <v>1207.2370503490799</v>
      </c>
      <c r="E260" s="1" t="s">
        <v>11</v>
      </c>
      <c r="F260">
        <v>5.3808807304588004</v>
      </c>
      <c r="G260">
        <v>9.0015047570973898</v>
      </c>
      <c r="H260">
        <v>7</v>
      </c>
      <c r="I260">
        <v>58</v>
      </c>
      <c r="J260" s="1" t="s">
        <v>15</v>
      </c>
      <c r="K260" s="1" t="s">
        <v>13</v>
      </c>
    </row>
    <row r="261" spans="1:11" x14ac:dyDescent="0.3">
      <c r="A261" s="3">
        <v>44823.976770833331</v>
      </c>
      <c r="B261">
        <v>-60.507473201641503</v>
      </c>
      <c r="C261">
        <v>10.7699813669382</v>
      </c>
      <c r="D261">
        <v>61.721845499401297</v>
      </c>
      <c r="E261" s="1" t="s">
        <v>14</v>
      </c>
      <c r="F261">
        <v>0.76645533663083498</v>
      </c>
      <c r="G261">
        <v>5.2013272883687103</v>
      </c>
      <c r="H261">
        <v>1</v>
      </c>
      <c r="I261">
        <v>3</v>
      </c>
      <c r="J261" s="1" t="s">
        <v>15</v>
      </c>
      <c r="K261" s="1" t="s">
        <v>17</v>
      </c>
    </row>
    <row r="262" spans="1:11" x14ac:dyDescent="0.3">
      <c r="A262" s="3">
        <v>44824.889826388891</v>
      </c>
      <c r="B262">
        <v>-78.260905703126895</v>
      </c>
      <c r="C262">
        <v>19.117961627464101</v>
      </c>
      <c r="D262">
        <v>1450.7809747251399</v>
      </c>
      <c r="E262" s="1" t="s">
        <v>11</v>
      </c>
      <c r="F262">
        <v>11.3333402968186</v>
      </c>
      <c r="G262">
        <v>3.62523198643723</v>
      </c>
      <c r="H262">
        <v>10</v>
      </c>
      <c r="I262">
        <v>70</v>
      </c>
      <c r="J262" s="1" t="s">
        <v>15</v>
      </c>
      <c r="K262" s="1" t="s">
        <v>17</v>
      </c>
    </row>
    <row r="263" spans="1:11" x14ac:dyDescent="0.3">
      <c r="A263" s="3">
        <v>44825.646493055552</v>
      </c>
      <c r="B263">
        <v>-93.534548761886597</v>
      </c>
      <c r="C263">
        <v>18.289058917581102</v>
      </c>
      <c r="D263">
        <v>383.69425004872301</v>
      </c>
      <c r="E263" s="1" t="s">
        <v>14</v>
      </c>
      <c r="F263">
        <v>3.7919389432727701</v>
      </c>
      <c r="G263">
        <v>7.3171346842550502</v>
      </c>
      <c r="H263">
        <v>2</v>
      </c>
      <c r="I263">
        <v>16</v>
      </c>
      <c r="J263" s="1" t="s">
        <v>15</v>
      </c>
      <c r="K263" s="1" t="s">
        <v>13</v>
      </c>
    </row>
    <row r="264" spans="1:11" x14ac:dyDescent="0.3">
      <c r="A264" s="3">
        <v>44826.527303240742</v>
      </c>
      <c r="B264">
        <v>-80.904505162156397</v>
      </c>
      <c r="C264">
        <v>14.1259773421414</v>
      </c>
      <c r="D264">
        <v>1506.49695154152</v>
      </c>
      <c r="E264" s="1" t="s">
        <v>11</v>
      </c>
      <c r="F264">
        <v>13.547747071069599</v>
      </c>
      <c r="G264">
        <v>6.8904006016608701</v>
      </c>
      <c r="H264">
        <v>3</v>
      </c>
      <c r="I264">
        <v>8</v>
      </c>
      <c r="J264" s="1" t="s">
        <v>12</v>
      </c>
      <c r="K264" s="1" t="s">
        <v>13</v>
      </c>
    </row>
    <row r="265" spans="1:11" x14ac:dyDescent="0.3">
      <c r="A265" s="3">
        <v>44827.48778935185</v>
      </c>
      <c r="B265">
        <v>-81.9440655783295</v>
      </c>
      <c r="C265">
        <v>23.874998734285501</v>
      </c>
      <c r="D265">
        <v>939.62796023033695</v>
      </c>
      <c r="E265" s="1" t="s">
        <v>18</v>
      </c>
      <c r="F265">
        <v>5.6239443645395299</v>
      </c>
      <c r="G265">
        <v>3.7577354593518502</v>
      </c>
      <c r="H265">
        <v>10</v>
      </c>
      <c r="I265">
        <v>62</v>
      </c>
      <c r="J265" s="1" t="s">
        <v>15</v>
      </c>
      <c r="K265" s="1" t="s">
        <v>13</v>
      </c>
    </row>
    <row r="266" spans="1:11" x14ac:dyDescent="0.3">
      <c r="A266" s="3">
        <v>44828.415034722224</v>
      </c>
      <c r="B266">
        <v>-87.303431000182201</v>
      </c>
      <c r="C266">
        <v>27.1572451423907</v>
      </c>
      <c r="D266">
        <v>236.28436445969501</v>
      </c>
      <c r="E266" s="1" t="s">
        <v>14</v>
      </c>
      <c r="F266">
        <v>5.7671028632876897</v>
      </c>
      <c r="G266">
        <v>4.8723247585370801</v>
      </c>
      <c r="H266">
        <v>4</v>
      </c>
      <c r="I266">
        <v>69</v>
      </c>
      <c r="J266" s="1" t="s">
        <v>12</v>
      </c>
      <c r="K266" s="1" t="s">
        <v>17</v>
      </c>
    </row>
    <row r="267" spans="1:11" x14ac:dyDescent="0.3">
      <c r="A267" s="3">
        <v>44829.704675925925</v>
      </c>
      <c r="B267">
        <v>-80.456261405207101</v>
      </c>
      <c r="C267">
        <v>24.5700603306868</v>
      </c>
      <c r="D267">
        <v>664.52862579381895</v>
      </c>
      <c r="E267" s="1" t="s">
        <v>16</v>
      </c>
      <c r="F267">
        <v>1.46648402785916</v>
      </c>
      <c r="G267">
        <v>2.6854984978306899</v>
      </c>
      <c r="H267">
        <v>9</v>
      </c>
      <c r="I267">
        <v>71</v>
      </c>
      <c r="J267" s="1" t="s">
        <v>12</v>
      </c>
      <c r="K267" s="1" t="s">
        <v>13</v>
      </c>
    </row>
    <row r="268" spans="1:11" x14ac:dyDescent="0.3">
      <c r="A268" s="3">
        <v>44830.860914351855</v>
      </c>
      <c r="B268">
        <v>-93.551337540505003</v>
      </c>
      <c r="C268">
        <v>26.216894104673301</v>
      </c>
      <c r="D268">
        <v>1707.27657965307</v>
      </c>
      <c r="E268" s="1" t="s">
        <v>14</v>
      </c>
      <c r="F268">
        <v>6.8889808668545296</v>
      </c>
      <c r="G268">
        <v>1.3095034357625499</v>
      </c>
      <c r="H268">
        <v>1</v>
      </c>
      <c r="I268">
        <v>77</v>
      </c>
      <c r="J268" s="1" t="s">
        <v>15</v>
      </c>
      <c r="K268" s="1" t="s">
        <v>13</v>
      </c>
    </row>
    <row r="269" spans="1:11" x14ac:dyDescent="0.3">
      <c r="A269" s="3">
        <v>44831.465150462966</v>
      </c>
      <c r="B269">
        <v>-95.317189028437397</v>
      </c>
      <c r="C269">
        <v>21.043610163952799</v>
      </c>
      <c r="D269">
        <v>233.57418532793599</v>
      </c>
      <c r="E269" s="1" t="s">
        <v>16</v>
      </c>
      <c r="F269">
        <v>2.8260469856234298</v>
      </c>
      <c r="G269">
        <v>8.9710034108678194</v>
      </c>
      <c r="H269">
        <v>1</v>
      </c>
      <c r="I269">
        <v>37</v>
      </c>
      <c r="J269" s="1" t="s">
        <v>15</v>
      </c>
      <c r="K269" s="1" t="s">
        <v>13</v>
      </c>
    </row>
    <row r="270" spans="1:11" x14ac:dyDescent="0.3">
      <c r="A270" s="3">
        <v>44832.584502314814</v>
      </c>
      <c r="B270">
        <v>-76.513799193439993</v>
      </c>
      <c r="C270">
        <v>28.574764045638201</v>
      </c>
      <c r="D270">
        <v>387.29558959500599</v>
      </c>
      <c r="E270" s="1" t="s">
        <v>18</v>
      </c>
      <c r="F270">
        <v>4.9515892728209501</v>
      </c>
      <c r="G270">
        <v>0.73583009013914502</v>
      </c>
      <c r="H270">
        <v>7</v>
      </c>
      <c r="I270">
        <v>80</v>
      </c>
      <c r="J270" s="1" t="s">
        <v>12</v>
      </c>
      <c r="K270" s="1" t="s">
        <v>13</v>
      </c>
    </row>
    <row r="271" spans="1:11" x14ac:dyDescent="0.3">
      <c r="A271" s="3">
        <v>44833.391111111108</v>
      </c>
      <c r="B271">
        <v>-73.135968477139798</v>
      </c>
      <c r="C271">
        <v>16.6318253793326</v>
      </c>
      <c r="D271">
        <v>323.210796665852</v>
      </c>
      <c r="E271" s="1" t="s">
        <v>16</v>
      </c>
      <c r="F271">
        <v>3.8869429225394798</v>
      </c>
      <c r="G271">
        <v>9.3631639333431096</v>
      </c>
      <c r="H271">
        <v>9</v>
      </c>
      <c r="I271">
        <v>21</v>
      </c>
      <c r="J271" s="1" t="s">
        <v>12</v>
      </c>
      <c r="K271" s="1" t="s">
        <v>13</v>
      </c>
    </row>
    <row r="272" spans="1:11" x14ac:dyDescent="0.3">
      <c r="A272" s="3">
        <v>44834.557187500002</v>
      </c>
      <c r="B272">
        <v>-77.132303266003703</v>
      </c>
      <c r="C272">
        <v>26.4992859643625</v>
      </c>
      <c r="D272">
        <v>390.47139787216997</v>
      </c>
      <c r="E272" s="1" t="s">
        <v>14</v>
      </c>
      <c r="F272">
        <v>2.87004501954608</v>
      </c>
      <c r="G272">
        <v>3.9422892539074401</v>
      </c>
      <c r="H272">
        <v>8</v>
      </c>
      <c r="I272">
        <v>23</v>
      </c>
      <c r="J272" s="1" t="s">
        <v>15</v>
      </c>
      <c r="K272" s="1" t="s">
        <v>17</v>
      </c>
    </row>
    <row r="273" spans="1:11" x14ac:dyDescent="0.3">
      <c r="A273" s="3">
        <v>44835.764907407407</v>
      </c>
      <c r="B273">
        <v>-71.674096595091697</v>
      </c>
      <c r="C273">
        <v>26.1552408943183</v>
      </c>
      <c r="D273">
        <v>1241.4459180082599</v>
      </c>
      <c r="E273" s="1" t="s">
        <v>16</v>
      </c>
      <c r="F273">
        <v>4.7485450799264797</v>
      </c>
      <c r="G273">
        <v>5.8019198700733902E-2</v>
      </c>
      <c r="H273">
        <v>8</v>
      </c>
      <c r="I273">
        <v>19</v>
      </c>
      <c r="J273" s="1" t="s">
        <v>12</v>
      </c>
      <c r="K273" s="1" t="s">
        <v>13</v>
      </c>
    </row>
    <row r="274" spans="1:11" x14ac:dyDescent="0.3">
      <c r="A274" s="3">
        <v>44836.397986111115</v>
      </c>
      <c r="B274">
        <v>-69.024188331409206</v>
      </c>
      <c r="C274">
        <v>27.0415807050307</v>
      </c>
      <c r="D274">
        <v>637.63795280260501</v>
      </c>
      <c r="E274" s="1" t="s">
        <v>16</v>
      </c>
      <c r="F274">
        <v>0.32352374504269799</v>
      </c>
      <c r="G274">
        <v>3.4904168689833899</v>
      </c>
      <c r="H274">
        <v>8</v>
      </c>
      <c r="I274">
        <v>85</v>
      </c>
      <c r="J274" s="1" t="s">
        <v>12</v>
      </c>
      <c r="K274" s="1" t="s">
        <v>17</v>
      </c>
    </row>
    <row r="275" spans="1:11" x14ac:dyDescent="0.3">
      <c r="A275" s="3">
        <v>44837.502442129633</v>
      </c>
      <c r="B275">
        <v>-94.204647548538603</v>
      </c>
      <c r="C275">
        <v>21.3724393004129</v>
      </c>
      <c r="D275">
        <v>557.01199535994203</v>
      </c>
      <c r="E275" s="1" t="s">
        <v>16</v>
      </c>
      <c r="F275">
        <v>0.48754933932227401</v>
      </c>
      <c r="G275">
        <v>1.4150161879990699</v>
      </c>
      <c r="H275">
        <v>3</v>
      </c>
      <c r="I275">
        <v>5</v>
      </c>
      <c r="J275" s="1" t="s">
        <v>12</v>
      </c>
      <c r="K275" s="1" t="s">
        <v>17</v>
      </c>
    </row>
    <row r="276" spans="1:11" x14ac:dyDescent="0.3">
      <c r="A276" s="3">
        <v>44838.983761574076</v>
      </c>
      <c r="B276">
        <v>-50.510929230737702</v>
      </c>
      <c r="C276">
        <v>12.440903014026301</v>
      </c>
      <c r="D276">
        <v>289.56111699885798</v>
      </c>
      <c r="E276" s="1" t="s">
        <v>16</v>
      </c>
      <c r="F276">
        <v>1.42390499257198</v>
      </c>
      <c r="G276">
        <v>3.1126923136659301</v>
      </c>
      <c r="H276">
        <v>10</v>
      </c>
      <c r="I276">
        <v>22</v>
      </c>
      <c r="J276" s="1" t="s">
        <v>15</v>
      </c>
      <c r="K276" s="1" t="s">
        <v>13</v>
      </c>
    </row>
    <row r="277" spans="1:11" x14ac:dyDescent="0.3">
      <c r="A277" s="3">
        <v>44839.67423611111</v>
      </c>
      <c r="B277">
        <v>-91.202814074053293</v>
      </c>
      <c r="C277">
        <v>19.3517064017521</v>
      </c>
      <c r="D277">
        <v>1370.61466317183</v>
      </c>
      <c r="E277" s="1" t="s">
        <v>18</v>
      </c>
      <c r="F277">
        <v>2.7625040573846902</v>
      </c>
      <c r="G277">
        <v>9.3739802531004894</v>
      </c>
      <c r="H277">
        <v>10</v>
      </c>
      <c r="I277">
        <v>51</v>
      </c>
      <c r="J277" s="1" t="s">
        <v>12</v>
      </c>
      <c r="K277" s="1" t="s">
        <v>17</v>
      </c>
    </row>
    <row r="278" spans="1:11" x14ac:dyDescent="0.3">
      <c r="A278" s="3">
        <v>44840.501319444447</v>
      </c>
      <c r="B278">
        <v>-75.475343405349406</v>
      </c>
      <c r="C278">
        <v>28.957665727536501</v>
      </c>
      <c r="D278">
        <v>1156.3876713504001</v>
      </c>
      <c r="E278" s="1" t="s">
        <v>11</v>
      </c>
      <c r="F278">
        <v>9.5103510387868706</v>
      </c>
      <c r="G278">
        <v>7.5631374685608996</v>
      </c>
      <c r="H278">
        <v>9</v>
      </c>
      <c r="I278">
        <v>89</v>
      </c>
      <c r="J278" s="1" t="s">
        <v>15</v>
      </c>
      <c r="K278" s="1" t="s">
        <v>13</v>
      </c>
    </row>
    <row r="279" spans="1:11" x14ac:dyDescent="0.3">
      <c r="A279" s="3">
        <v>44841.746018518519</v>
      </c>
      <c r="B279">
        <v>-88.442806206696005</v>
      </c>
      <c r="C279">
        <v>29.813945077623799</v>
      </c>
      <c r="D279">
        <v>972.75975510294597</v>
      </c>
      <c r="E279" s="1" t="s">
        <v>18</v>
      </c>
      <c r="F279">
        <v>4.8208466771521596</v>
      </c>
      <c r="G279">
        <v>9.0223937273674295</v>
      </c>
      <c r="H279">
        <v>10</v>
      </c>
      <c r="I279">
        <v>45</v>
      </c>
      <c r="J279" s="1" t="s">
        <v>12</v>
      </c>
      <c r="K279" s="1" t="s">
        <v>17</v>
      </c>
    </row>
    <row r="280" spans="1:11" x14ac:dyDescent="0.3">
      <c r="A280" s="3">
        <v>44842.919872685183</v>
      </c>
      <c r="B280">
        <v>-112.68873068969199</v>
      </c>
      <c r="C280">
        <v>16.617144046033001</v>
      </c>
      <c r="D280">
        <v>1221.2528504757699</v>
      </c>
      <c r="E280" s="1" t="s">
        <v>16</v>
      </c>
      <c r="F280">
        <v>1.80473256010384</v>
      </c>
      <c r="G280">
        <v>6.2300034520664003</v>
      </c>
      <c r="H280">
        <v>1</v>
      </c>
      <c r="I280">
        <v>21</v>
      </c>
      <c r="J280" s="1" t="s">
        <v>12</v>
      </c>
      <c r="K280" s="1" t="s">
        <v>13</v>
      </c>
    </row>
    <row r="281" spans="1:11" x14ac:dyDescent="0.3">
      <c r="A281" s="3">
        <v>44843.816736111112</v>
      </c>
      <c r="B281">
        <v>-53.639040999834798</v>
      </c>
      <c r="C281">
        <v>20.4075713766508</v>
      </c>
      <c r="D281">
        <v>1295.82061781574</v>
      </c>
      <c r="E281" s="1" t="s">
        <v>16</v>
      </c>
      <c r="F281">
        <v>1.36098494164378</v>
      </c>
      <c r="G281">
        <v>0.138415450530288</v>
      </c>
      <c r="H281">
        <v>2</v>
      </c>
      <c r="I281">
        <v>73</v>
      </c>
      <c r="J281" s="1" t="s">
        <v>12</v>
      </c>
      <c r="K281" s="1" t="s">
        <v>17</v>
      </c>
    </row>
    <row r="282" spans="1:11" x14ac:dyDescent="0.3">
      <c r="A282" s="3">
        <v>44844.931458333333</v>
      </c>
      <c r="B282">
        <v>-85.826260894663804</v>
      </c>
      <c r="C282">
        <v>19.749517326876301</v>
      </c>
      <c r="D282">
        <v>629.26776996565604</v>
      </c>
      <c r="E282" s="1" t="s">
        <v>11</v>
      </c>
      <c r="F282">
        <v>9.7808239640529404</v>
      </c>
      <c r="G282">
        <v>8.4035083305324303</v>
      </c>
      <c r="H282">
        <v>6</v>
      </c>
      <c r="I282">
        <v>18</v>
      </c>
      <c r="J282" s="1" t="s">
        <v>12</v>
      </c>
      <c r="K282" s="1" t="s">
        <v>17</v>
      </c>
    </row>
    <row r="283" spans="1:11" x14ac:dyDescent="0.3">
      <c r="A283" s="3">
        <v>44845.8753125</v>
      </c>
      <c r="B283">
        <v>-78.908158569243497</v>
      </c>
      <c r="C283">
        <v>13.5730181741322</v>
      </c>
      <c r="D283">
        <v>1553.6439729968099</v>
      </c>
      <c r="E283" s="1" t="s">
        <v>18</v>
      </c>
      <c r="F283">
        <v>4.4943738559601103</v>
      </c>
      <c r="G283">
        <v>1.0464973282622301</v>
      </c>
      <c r="H283">
        <v>1</v>
      </c>
      <c r="I283">
        <v>66</v>
      </c>
      <c r="J283" s="1" t="s">
        <v>15</v>
      </c>
      <c r="K283" s="1" t="s">
        <v>17</v>
      </c>
    </row>
    <row r="284" spans="1:11" x14ac:dyDescent="0.3">
      <c r="A284" s="3">
        <v>44846.560624999998</v>
      </c>
      <c r="B284">
        <v>-94.372578807200995</v>
      </c>
      <c r="C284">
        <v>17.7120085088238</v>
      </c>
      <c r="D284">
        <v>875.60656452066496</v>
      </c>
      <c r="E284" s="1" t="s">
        <v>16</v>
      </c>
      <c r="F284">
        <v>1.9515726436212399</v>
      </c>
      <c r="G284">
        <v>9.7810661161006394</v>
      </c>
      <c r="H284">
        <v>5</v>
      </c>
      <c r="I284">
        <v>60</v>
      </c>
      <c r="J284" s="1" t="s">
        <v>12</v>
      </c>
      <c r="K284" s="1" t="s">
        <v>17</v>
      </c>
    </row>
    <row r="285" spans="1:11" x14ac:dyDescent="0.3">
      <c r="A285" s="3">
        <v>44847.490046296298</v>
      </c>
      <c r="B285">
        <v>-93.683486252942799</v>
      </c>
      <c r="C285">
        <v>14.6528394814256</v>
      </c>
      <c r="D285">
        <v>1160.80452668203</v>
      </c>
      <c r="E285" s="1" t="s">
        <v>14</v>
      </c>
      <c r="F285">
        <v>8.9476182102186499</v>
      </c>
      <c r="G285">
        <v>3.5029187943633802</v>
      </c>
      <c r="H285">
        <v>9</v>
      </c>
      <c r="I285">
        <v>9</v>
      </c>
      <c r="J285" s="1" t="s">
        <v>15</v>
      </c>
      <c r="K285" s="1" t="s">
        <v>17</v>
      </c>
    </row>
    <row r="286" spans="1:11" x14ac:dyDescent="0.3">
      <c r="A286" s="3">
        <v>44848.636562500003</v>
      </c>
      <c r="B286">
        <v>-68.802288588098804</v>
      </c>
      <c r="C286">
        <v>15.013610300414101</v>
      </c>
      <c r="D286">
        <v>714.73238540871705</v>
      </c>
      <c r="E286" s="1" t="s">
        <v>16</v>
      </c>
      <c r="F286">
        <v>0.46449670677830901</v>
      </c>
      <c r="G286">
        <v>0.24995436476166999</v>
      </c>
      <c r="H286">
        <v>4</v>
      </c>
      <c r="I286">
        <v>68</v>
      </c>
      <c r="J286" s="1" t="s">
        <v>12</v>
      </c>
      <c r="K286" s="1" t="s">
        <v>13</v>
      </c>
    </row>
    <row r="287" spans="1:11" x14ac:dyDescent="0.3">
      <c r="A287" s="3">
        <v>44849.49050925926</v>
      </c>
      <c r="B287">
        <v>-98.664938050635001</v>
      </c>
      <c r="C287">
        <v>13.736971431016</v>
      </c>
      <c r="D287">
        <v>1236.33048604646</v>
      </c>
      <c r="E287" s="1" t="s">
        <v>16</v>
      </c>
      <c r="F287">
        <v>3.4825365260724199</v>
      </c>
      <c r="G287">
        <v>5.50102809543053</v>
      </c>
      <c r="H287">
        <v>2</v>
      </c>
      <c r="I287">
        <v>31</v>
      </c>
      <c r="J287" s="1" t="s">
        <v>12</v>
      </c>
      <c r="K287" s="1" t="s">
        <v>13</v>
      </c>
    </row>
    <row r="288" spans="1:11" x14ac:dyDescent="0.3">
      <c r="A288" s="3">
        <v>44850.722037037034</v>
      </c>
      <c r="B288">
        <v>-97.151114431525102</v>
      </c>
      <c r="C288">
        <v>16.3173893273731</v>
      </c>
      <c r="D288">
        <v>329.48709696646</v>
      </c>
      <c r="E288" s="1" t="s">
        <v>18</v>
      </c>
      <c r="F288">
        <v>4.6103313354134299</v>
      </c>
      <c r="G288">
        <v>9.5201691770538908</v>
      </c>
      <c r="H288">
        <v>5</v>
      </c>
      <c r="I288">
        <v>34</v>
      </c>
      <c r="J288" s="1" t="s">
        <v>15</v>
      </c>
      <c r="K288" s="1" t="s">
        <v>13</v>
      </c>
    </row>
    <row r="289" spans="1:11" x14ac:dyDescent="0.3">
      <c r="A289" s="3">
        <v>44851.875937500001</v>
      </c>
      <c r="B289">
        <v>-64.428179370566596</v>
      </c>
      <c r="C289">
        <v>10.2714107156733</v>
      </c>
      <c r="D289">
        <v>1517.6497924854</v>
      </c>
      <c r="E289" s="1" t="s">
        <v>14</v>
      </c>
      <c r="F289">
        <v>9.2845632555317597</v>
      </c>
      <c r="G289">
        <v>1.49630836756524</v>
      </c>
      <c r="H289">
        <v>1</v>
      </c>
      <c r="I289">
        <v>24</v>
      </c>
      <c r="J289" s="1" t="s">
        <v>15</v>
      </c>
      <c r="K289" s="1" t="s">
        <v>17</v>
      </c>
    </row>
    <row r="290" spans="1:11" x14ac:dyDescent="0.3">
      <c r="A290" s="3">
        <v>44852.731307870374</v>
      </c>
      <c r="B290">
        <v>-92.770475656832303</v>
      </c>
      <c r="C290">
        <v>18.472879566838198</v>
      </c>
      <c r="D290">
        <v>1584.60040807668</v>
      </c>
      <c r="E290" s="1" t="s">
        <v>16</v>
      </c>
      <c r="F290">
        <v>4.6620590683064602</v>
      </c>
      <c r="G290">
        <v>4.3723934952322399</v>
      </c>
      <c r="H290">
        <v>7</v>
      </c>
      <c r="I290">
        <v>47</v>
      </c>
      <c r="J290" s="1" t="s">
        <v>15</v>
      </c>
      <c r="K290" s="1" t="s">
        <v>17</v>
      </c>
    </row>
    <row r="291" spans="1:11" x14ac:dyDescent="0.3">
      <c r="A291" s="3">
        <v>44853.670694444445</v>
      </c>
      <c r="B291">
        <v>-95.062842202547998</v>
      </c>
      <c r="C291">
        <v>12.987813010328599</v>
      </c>
      <c r="D291">
        <v>176.76233345250901</v>
      </c>
      <c r="E291" s="1" t="s">
        <v>18</v>
      </c>
      <c r="F291">
        <v>4.6282057461800399</v>
      </c>
      <c r="G291">
        <v>7.9231480173922701</v>
      </c>
      <c r="H291">
        <v>1</v>
      </c>
      <c r="I291">
        <v>35</v>
      </c>
      <c r="J291" s="1" t="s">
        <v>12</v>
      </c>
      <c r="K291" s="1" t="s">
        <v>17</v>
      </c>
    </row>
    <row r="292" spans="1:11" x14ac:dyDescent="0.3">
      <c r="A292" s="3">
        <v>44854.47519675926</v>
      </c>
      <c r="B292">
        <v>-76.573617976260905</v>
      </c>
      <c r="C292">
        <v>24.3802939204759</v>
      </c>
      <c r="D292">
        <v>517.33040291021496</v>
      </c>
      <c r="E292" s="1" t="s">
        <v>11</v>
      </c>
      <c r="F292">
        <v>14.1742477793929</v>
      </c>
      <c r="G292">
        <v>6.9795172964991101</v>
      </c>
      <c r="H292">
        <v>4</v>
      </c>
      <c r="I292">
        <v>26</v>
      </c>
      <c r="J292" s="1" t="s">
        <v>12</v>
      </c>
      <c r="K292" s="1" t="s">
        <v>13</v>
      </c>
    </row>
    <row r="293" spans="1:11" x14ac:dyDescent="0.3">
      <c r="A293" s="3">
        <v>44855.922719907408</v>
      </c>
      <c r="B293">
        <v>-99.745540773296</v>
      </c>
      <c r="C293">
        <v>21.5922748743432</v>
      </c>
      <c r="D293">
        <v>1760.0966605249901</v>
      </c>
      <c r="E293" s="1" t="s">
        <v>16</v>
      </c>
      <c r="F293">
        <v>4.3602920454900396</v>
      </c>
      <c r="G293">
        <v>5.8586187247305901</v>
      </c>
      <c r="H293">
        <v>7</v>
      </c>
      <c r="I293">
        <v>49</v>
      </c>
      <c r="J293" s="1" t="s">
        <v>15</v>
      </c>
      <c r="K293" s="1" t="s">
        <v>13</v>
      </c>
    </row>
    <row r="294" spans="1:11" x14ac:dyDescent="0.3">
      <c r="A294" s="3">
        <v>44856.900821759256</v>
      </c>
      <c r="B294">
        <v>-109.93072663128</v>
      </c>
      <c r="C294">
        <v>11.9207874448269</v>
      </c>
      <c r="D294">
        <v>430.98043101609102</v>
      </c>
      <c r="E294" s="1" t="s">
        <v>16</v>
      </c>
      <c r="F294">
        <v>4.0893730655504497</v>
      </c>
      <c r="G294">
        <v>0.33660745357572303</v>
      </c>
      <c r="H294">
        <v>2</v>
      </c>
      <c r="I294">
        <v>94</v>
      </c>
      <c r="J294" s="1" t="s">
        <v>12</v>
      </c>
      <c r="K294" s="1" t="s">
        <v>17</v>
      </c>
    </row>
    <row r="295" spans="1:11" x14ac:dyDescent="0.3">
      <c r="A295" s="3">
        <v>44857.386331018519</v>
      </c>
      <c r="B295">
        <v>-96.4793434901556</v>
      </c>
      <c r="C295">
        <v>19.818668834733401</v>
      </c>
      <c r="D295">
        <v>71.182386435678495</v>
      </c>
      <c r="E295" s="1" t="s">
        <v>11</v>
      </c>
      <c r="F295">
        <v>11.3172313912328</v>
      </c>
      <c r="G295">
        <v>6.7837158129612396</v>
      </c>
      <c r="H295">
        <v>3</v>
      </c>
      <c r="I295">
        <v>36</v>
      </c>
      <c r="J295" s="1" t="s">
        <v>12</v>
      </c>
      <c r="K295" s="1" t="s">
        <v>13</v>
      </c>
    </row>
    <row r="296" spans="1:11" x14ac:dyDescent="0.3">
      <c r="A296" s="3">
        <v>44858.7658912037</v>
      </c>
      <c r="B296">
        <v>-71.878742547294493</v>
      </c>
      <c r="C296">
        <v>10.5230364281636</v>
      </c>
      <c r="D296">
        <v>325.85706055059899</v>
      </c>
      <c r="E296" s="1" t="s">
        <v>14</v>
      </c>
      <c r="F296">
        <v>4.4378152563046402</v>
      </c>
      <c r="G296">
        <v>2.6045987114020601</v>
      </c>
      <c r="H296">
        <v>6</v>
      </c>
      <c r="I296">
        <v>67</v>
      </c>
      <c r="J296" s="1" t="s">
        <v>12</v>
      </c>
      <c r="K296" s="1" t="s">
        <v>13</v>
      </c>
    </row>
    <row r="297" spans="1:11" x14ac:dyDescent="0.3">
      <c r="A297" s="3">
        <v>44859.88784722222</v>
      </c>
      <c r="B297">
        <v>-117.519759381254</v>
      </c>
      <c r="C297">
        <v>18.526492128258699</v>
      </c>
      <c r="D297">
        <v>1113.17454000971</v>
      </c>
      <c r="E297" s="1" t="s">
        <v>16</v>
      </c>
      <c r="F297">
        <v>3.9682590255151</v>
      </c>
      <c r="G297">
        <v>9.0008376808995898</v>
      </c>
      <c r="H297">
        <v>5</v>
      </c>
      <c r="I297">
        <v>67</v>
      </c>
      <c r="J297" s="1" t="s">
        <v>15</v>
      </c>
      <c r="K297" s="1" t="s">
        <v>13</v>
      </c>
    </row>
    <row r="298" spans="1:11" x14ac:dyDescent="0.3">
      <c r="A298" s="3">
        <v>44860.977280092593</v>
      </c>
      <c r="B298">
        <v>-79.068775655865295</v>
      </c>
      <c r="C298">
        <v>13.5985628459716</v>
      </c>
      <c r="D298">
        <v>738.99022254129795</v>
      </c>
      <c r="E298" s="1" t="s">
        <v>18</v>
      </c>
      <c r="F298">
        <v>4.3574948692974598</v>
      </c>
      <c r="G298">
        <v>5.8324947256687496</v>
      </c>
      <c r="H298">
        <v>4</v>
      </c>
      <c r="I298">
        <v>100</v>
      </c>
      <c r="J298" s="1" t="s">
        <v>12</v>
      </c>
      <c r="K298" s="1" t="s">
        <v>17</v>
      </c>
    </row>
    <row r="299" spans="1:11" x14ac:dyDescent="0.3">
      <c r="A299" s="3">
        <v>44861.775648148148</v>
      </c>
      <c r="B299">
        <v>-95.728660743424697</v>
      </c>
      <c r="C299">
        <v>20.211841214349501</v>
      </c>
      <c r="D299">
        <v>345.220174519404</v>
      </c>
      <c r="E299" s="1" t="s">
        <v>16</v>
      </c>
      <c r="F299">
        <v>4.5202537961175304</v>
      </c>
      <c r="G299">
        <v>4.8875552512150602</v>
      </c>
      <c r="H299">
        <v>4</v>
      </c>
      <c r="I299">
        <v>58</v>
      </c>
      <c r="J299" s="1" t="s">
        <v>15</v>
      </c>
      <c r="K299" s="1" t="s">
        <v>13</v>
      </c>
    </row>
    <row r="300" spans="1:11" x14ac:dyDescent="0.3">
      <c r="A300" s="3">
        <v>44862.958854166667</v>
      </c>
      <c r="B300">
        <v>-68.159938733374602</v>
      </c>
      <c r="C300">
        <v>19.5875415370882</v>
      </c>
      <c r="D300">
        <v>1261.2721428100001</v>
      </c>
      <c r="E300" s="1" t="s">
        <v>18</v>
      </c>
      <c r="F300">
        <v>3.3093944170257799</v>
      </c>
      <c r="G300">
        <v>7.5123396906407596</v>
      </c>
      <c r="H300">
        <v>5</v>
      </c>
      <c r="I300">
        <v>44</v>
      </c>
      <c r="J300" s="1" t="s">
        <v>15</v>
      </c>
      <c r="K300" s="1" t="s">
        <v>17</v>
      </c>
    </row>
    <row r="301" spans="1:11" x14ac:dyDescent="0.3">
      <c r="A301" s="3">
        <v>44863.857106481482</v>
      </c>
      <c r="B301">
        <v>-64.482886059808905</v>
      </c>
      <c r="C301">
        <v>28.803187647661801</v>
      </c>
      <c r="D301">
        <v>1006.82207582568</v>
      </c>
      <c r="E301" s="1" t="s">
        <v>14</v>
      </c>
      <c r="F301">
        <v>6.4805535166606196</v>
      </c>
      <c r="G301">
        <v>4.7203868769719701</v>
      </c>
      <c r="H301">
        <v>10</v>
      </c>
      <c r="I301">
        <v>94</v>
      </c>
      <c r="J301" s="1" t="s">
        <v>12</v>
      </c>
      <c r="K301" s="1" t="s">
        <v>17</v>
      </c>
    </row>
    <row r="302" spans="1:11" x14ac:dyDescent="0.3">
      <c r="A302" s="3">
        <v>44864.685671296298</v>
      </c>
      <c r="B302">
        <v>-74.090803698337197</v>
      </c>
      <c r="C302">
        <v>14.542556845085301</v>
      </c>
      <c r="D302">
        <v>454.52641029559902</v>
      </c>
      <c r="E302" s="1" t="s">
        <v>16</v>
      </c>
      <c r="F302">
        <v>1.8943777474135499</v>
      </c>
      <c r="G302">
        <v>5.8589878181071198</v>
      </c>
      <c r="H302">
        <v>8</v>
      </c>
      <c r="I302">
        <v>4</v>
      </c>
      <c r="J302" s="1" t="s">
        <v>15</v>
      </c>
      <c r="K302" s="1" t="s">
        <v>13</v>
      </c>
    </row>
    <row r="303" spans="1:11" x14ac:dyDescent="0.3">
      <c r="A303" s="3">
        <v>44865.977650462963</v>
      </c>
      <c r="B303">
        <v>-106.888895861527</v>
      </c>
      <c r="C303">
        <v>21.669344937999899</v>
      </c>
      <c r="D303">
        <v>261.34675065268198</v>
      </c>
      <c r="E303" s="1" t="s">
        <v>16</v>
      </c>
      <c r="F303">
        <v>0.19256604067935601</v>
      </c>
      <c r="G303">
        <v>0.97960428641075503</v>
      </c>
      <c r="H303">
        <v>2</v>
      </c>
      <c r="I303">
        <v>60</v>
      </c>
      <c r="J303" s="1" t="s">
        <v>15</v>
      </c>
      <c r="K303" s="1" t="s">
        <v>17</v>
      </c>
    </row>
    <row r="304" spans="1:11" x14ac:dyDescent="0.3">
      <c r="A304" s="3">
        <v>44866.620833333334</v>
      </c>
      <c r="B304">
        <v>-79.418271180480801</v>
      </c>
      <c r="C304">
        <v>18.9030530946252</v>
      </c>
      <c r="D304">
        <v>994.73836369540402</v>
      </c>
      <c r="E304" s="1" t="s">
        <v>16</v>
      </c>
      <c r="F304">
        <v>3.6386752405970602</v>
      </c>
      <c r="G304">
        <v>7.4948690433347203</v>
      </c>
      <c r="H304">
        <v>7</v>
      </c>
      <c r="I304">
        <v>63</v>
      </c>
      <c r="J304" s="1" t="s">
        <v>15</v>
      </c>
      <c r="K304" s="1" t="s">
        <v>17</v>
      </c>
    </row>
    <row r="305" spans="1:11" x14ac:dyDescent="0.3">
      <c r="A305" s="3">
        <v>44867.786041666666</v>
      </c>
      <c r="B305">
        <v>-95.943666935648807</v>
      </c>
      <c r="C305">
        <v>26.437340736067501</v>
      </c>
      <c r="D305">
        <v>746.73210513708295</v>
      </c>
      <c r="E305" s="1" t="s">
        <v>14</v>
      </c>
      <c r="F305">
        <v>5.2781893261314003</v>
      </c>
      <c r="G305">
        <v>1.2102096368308</v>
      </c>
      <c r="H305">
        <v>10</v>
      </c>
      <c r="I305">
        <v>68</v>
      </c>
      <c r="J305" s="1" t="s">
        <v>15</v>
      </c>
      <c r="K305" s="1" t="s">
        <v>13</v>
      </c>
    </row>
    <row r="306" spans="1:11" x14ac:dyDescent="0.3">
      <c r="A306" s="3">
        <v>44868.875671296293</v>
      </c>
      <c r="B306">
        <v>-89.679712991501404</v>
      </c>
      <c r="C306">
        <v>10.367119952406</v>
      </c>
      <c r="D306">
        <v>1379.4501943620601</v>
      </c>
      <c r="E306" s="1" t="s">
        <v>18</v>
      </c>
      <c r="F306">
        <v>7.9912744385842203</v>
      </c>
      <c r="G306">
        <v>9.46476125362015</v>
      </c>
      <c r="H306">
        <v>8</v>
      </c>
      <c r="I306">
        <v>38</v>
      </c>
      <c r="J306" s="1" t="s">
        <v>15</v>
      </c>
      <c r="K306" s="1" t="s">
        <v>13</v>
      </c>
    </row>
    <row r="307" spans="1:11" x14ac:dyDescent="0.3">
      <c r="A307" s="3">
        <v>44869.741666666669</v>
      </c>
      <c r="B307">
        <v>-74.780706565653205</v>
      </c>
      <c r="C307">
        <v>21.299857700790099</v>
      </c>
      <c r="D307">
        <v>1766.8433746041201</v>
      </c>
      <c r="E307" s="1" t="s">
        <v>18</v>
      </c>
      <c r="F307">
        <v>2.0986452019451298</v>
      </c>
      <c r="G307">
        <v>4.5895096895166398</v>
      </c>
      <c r="H307">
        <v>6</v>
      </c>
      <c r="I307">
        <v>32</v>
      </c>
      <c r="J307" s="1" t="s">
        <v>12</v>
      </c>
      <c r="K307" s="1" t="s">
        <v>17</v>
      </c>
    </row>
    <row r="308" spans="1:11" x14ac:dyDescent="0.3">
      <c r="A308" s="3">
        <v>44870.849918981483</v>
      </c>
      <c r="B308">
        <v>-102.32338075750199</v>
      </c>
      <c r="C308">
        <v>20.100613850982601</v>
      </c>
      <c r="D308">
        <v>996.73334488053104</v>
      </c>
      <c r="E308" s="1" t="s">
        <v>18</v>
      </c>
      <c r="F308">
        <v>2.9767337172309798</v>
      </c>
      <c r="G308">
        <v>5.6301697300722502</v>
      </c>
      <c r="H308">
        <v>10</v>
      </c>
      <c r="I308">
        <v>47</v>
      </c>
      <c r="J308" s="1" t="s">
        <v>15</v>
      </c>
      <c r="K308" s="1" t="s">
        <v>17</v>
      </c>
    </row>
    <row r="309" spans="1:11" x14ac:dyDescent="0.3">
      <c r="A309" s="3">
        <v>44871.465578703705</v>
      </c>
      <c r="B309">
        <v>-104.07020271169699</v>
      </c>
      <c r="C309">
        <v>28.6864257433195</v>
      </c>
      <c r="D309">
        <v>189.66683006532901</v>
      </c>
      <c r="E309" s="1" t="s">
        <v>16</v>
      </c>
      <c r="F309">
        <v>3.8358394053762499</v>
      </c>
      <c r="G309">
        <v>5.1832886687388102</v>
      </c>
      <c r="H309">
        <v>4</v>
      </c>
      <c r="I309">
        <v>61</v>
      </c>
      <c r="J309" s="1" t="s">
        <v>15</v>
      </c>
      <c r="K309" s="1" t="s">
        <v>13</v>
      </c>
    </row>
    <row r="310" spans="1:11" x14ac:dyDescent="0.3">
      <c r="A310" s="3">
        <v>44872.614733796298</v>
      </c>
      <c r="B310">
        <v>-101.37961078123701</v>
      </c>
      <c r="C310">
        <v>15.0119630816734</v>
      </c>
      <c r="D310">
        <v>485.949358444062</v>
      </c>
      <c r="E310" s="1" t="s">
        <v>11</v>
      </c>
      <c r="F310">
        <v>8.3130693181113298</v>
      </c>
      <c r="G310">
        <v>4.9091142229681797</v>
      </c>
      <c r="H310">
        <v>4</v>
      </c>
      <c r="I310">
        <v>94</v>
      </c>
      <c r="J310" s="1" t="s">
        <v>15</v>
      </c>
      <c r="K310" s="1" t="s">
        <v>17</v>
      </c>
    </row>
    <row r="311" spans="1:11" x14ac:dyDescent="0.3">
      <c r="A311" s="3">
        <v>44873.794085648151</v>
      </c>
      <c r="B311">
        <v>-93.453580118719202</v>
      </c>
      <c r="C311">
        <v>29.4483503874545</v>
      </c>
      <c r="D311">
        <v>898.04115195742497</v>
      </c>
      <c r="E311" s="1" t="s">
        <v>18</v>
      </c>
      <c r="F311">
        <v>2.8079172583316101</v>
      </c>
      <c r="G311">
        <v>7.4430213433289198</v>
      </c>
      <c r="H311">
        <v>7</v>
      </c>
      <c r="I311">
        <v>73</v>
      </c>
      <c r="J311" s="1" t="s">
        <v>15</v>
      </c>
      <c r="K311" s="1" t="s">
        <v>17</v>
      </c>
    </row>
    <row r="312" spans="1:11" x14ac:dyDescent="0.3">
      <c r="A312" s="3">
        <v>44874.663865740738</v>
      </c>
      <c r="B312">
        <v>-91.892598467273601</v>
      </c>
      <c r="C312">
        <v>23.9433732942551</v>
      </c>
      <c r="D312">
        <v>48.1776182096173</v>
      </c>
      <c r="E312" s="1" t="s">
        <v>11</v>
      </c>
      <c r="F312">
        <v>13.909458477194899</v>
      </c>
      <c r="G312">
        <v>4.7126784843343499</v>
      </c>
      <c r="H312">
        <v>5</v>
      </c>
      <c r="I312">
        <v>85</v>
      </c>
      <c r="J312" s="1" t="s">
        <v>12</v>
      </c>
      <c r="K312" s="1" t="s">
        <v>17</v>
      </c>
    </row>
    <row r="313" spans="1:11" x14ac:dyDescent="0.3">
      <c r="A313" s="3">
        <v>44875.532858796294</v>
      </c>
      <c r="B313">
        <v>-98.468170756559601</v>
      </c>
      <c r="C313">
        <v>25.390233774732199</v>
      </c>
      <c r="D313">
        <v>1696.2061975946001</v>
      </c>
      <c r="E313" s="1" t="s">
        <v>14</v>
      </c>
      <c r="F313">
        <v>7.6481263609146897</v>
      </c>
      <c r="G313">
        <v>9.9818055826145997</v>
      </c>
      <c r="H313">
        <v>5</v>
      </c>
      <c r="I313">
        <v>92</v>
      </c>
      <c r="J313" s="1" t="s">
        <v>15</v>
      </c>
      <c r="K313" s="1" t="s">
        <v>13</v>
      </c>
    </row>
    <row r="314" spans="1:11" x14ac:dyDescent="0.3">
      <c r="A314" s="3">
        <v>44876.432534722226</v>
      </c>
      <c r="B314">
        <v>-62.910899344152298</v>
      </c>
      <c r="C314">
        <v>25.436868641654499</v>
      </c>
      <c r="D314">
        <v>1347.8182191917599</v>
      </c>
      <c r="E314" s="1" t="s">
        <v>14</v>
      </c>
      <c r="F314">
        <v>7.6902552541802596</v>
      </c>
      <c r="G314">
        <v>2.90661118749509</v>
      </c>
      <c r="H314">
        <v>5</v>
      </c>
      <c r="I314">
        <v>81</v>
      </c>
      <c r="J314" s="1" t="s">
        <v>12</v>
      </c>
      <c r="K314" s="1" t="s">
        <v>17</v>
      </c>
    </row>
    <row r="315" spans="1:11" x14ac:dyDescent="0.3">
      <c r="A315" s="3">
        <v>44877.956493055557</v>
      </c>
      <c r="B315">
        <v>-79.585389010568207</v>
      </c>
      <c r="C315">
        <v>23.142308803511298</v>
      </c>
      <c r="D315">
        <v>844.91784055279402</v>
      </c>
      <c r="E315" s="1" t="s">
        <v>14</v>
      </c>
      <c r="F315">
        <v>8.8014081110412707</v>
      </c>
      <c r="G315">
        <v>1.93940670820738</v>
      </c>
      <c r="H315">
        <v>9</v>
      </c>
      <c r="I315">
        <v>91</v>
      </c>
      <c r="J315" s="1" t="s">
        <v>12</v>
      </c>
      <c r="K315" s="1" t="s">
        <v>13</v>
      </c>
    </row>
    <row r="316" spans="1:11" x14ac:dyDescent="0.3">
      <c r="A316" s="3">
        <v>44878.462800925925</v>
      </c>
      <c r="B316">
        <v>-67.636243917210095</v>
      </c>
      <c r="C316">
        <v>27.889548896485401</v>
      </c>
      <c r="D316">
        <v>1012.00262088819</v>
      </c>
      <c r="E316" s="1" t="s">
        <v>16</v>
      </c>
      <c r="F316">
        <v>3.9709200681979602</v>
      </c>
      <c r="G316">
        <v>2.2440390915920498</v>
      </c>
      <c r="H316">
        <v>2</v>
      </c>
      <c r="I316">
        <v>27</v>
      </c>
      <c r="J316" s="1" t="s">
        <v>12</v>
      </c>
      <c r="K316" s="1" t="s">
        <v>17</v>
      </c>
    </row>
    <row r="317" spans="1:11" x14ac:dyDescent="0.3">
      <c r="A317" s="3">
        <v>44879.626574074071</v>
      </c>
      <c r="B317">
        <v>-67.727274213854002</v>
      </c>
      <c r="C317">
        <v>15.538251852225899</v>
      </c>
      <c r="D317">
        <v>704.25186495793901</v>
      </c>
      <c r="E317" s="1" t="s">
        <v>14</v>
      </c>
      <c r="F317">
        <v>1.70887136049452</v>
      </c>
      <c r="G317">
        <v>0.34080624540886101</v>
      </c>
      <c r="H317">
        <v>1</v>
      </c>
      <c r="I317">
        <v>72</v>
      </c>
      <c r="J317" s="1" t="s">
        <v>15</v>
      </c>
      <c r="K317" s="1" t="s">
        <v>13</v>
      </c>
    </row>
    <row r="318" spans="1:11" x14ac:dyDescent="0.3">
      <c r="A318" s="3">
        <v>44880.731620370374</v>
      </c>
      <c r="B318">
        <v>-93.276783096939397</v>
      </c>
      <c r="C318">
        <v>24.857779948407199</v>
      </c>
      <c r="D318">
        <v>1698.23724766192</v>
      </c>
      <c r="E318" s="1" t="s">
        <v>18</v>
      </c>
      <c r="F318">
        <v>4.2161771786456601</v>
      </c>
      <c r="G318">
        <v>9.28371245721722</v>
      </c>
      <c r="H318">
        <v>3</v>
      </c>
      <c r="I318">
        <v>100</v>
      </c>
      <c r="J318" s="1" t="s">
        <v>15</v>
      </c>
      <c r="K318" s="1" t="s">
        <v>13</v>
      </c>
    </row>
    <row r="319" spans="1:11" x14ac:dyDescent="0.3">
      <c r="A319" s="3">
        <v>44881.893425925926</v>
      </c>
      <c r="B319">
        <v>-95.993616171492604</v>
      </c>
      <c r="C319">
        <v>23.974021050699498</v>
      </c>
      <c r="D319">
        <v>1026.3641612782901</v>
      </c>
      <c r="E319" s="1" t="s">
        <v>18</v>
      </c>
      <c r="F319">
        <v>4.2775156982985996</v>
      </c>
      <c r="G319">
        <v>5.7834364485691303</v>
      </c>
      <c r="H319">
        <v>8</v>
      </c>
      <c r="I319">
        <v>17</v>
      </c>
      <c r="J319" s="1" t="s">
        <v>15</v>
      </c>
      <c r="K319" s="1" t="s">
        <v>17</v>
      </c>
    </row>
    <row r="320" spans="1:11" x14ac:dyDescent="0.3">
      <c r="A320" s="3">
        <v>44882.548796296294</v>
      </c>
      <c r="B320">
        <v>-98.5669011195331</v>
      </c>
      <c r="C320">
        <v>23.395227873537301</v>
      </c>
      <c r="D320">
        <v>772.02771829819596</v>
      </c>
      <c r="E320" s="1" t="s">
        <v>18</v>
      </c>
      <c r="F320">
        <v>3.9946693779218299</v>
      </c>
      <c r="G320">
        <v>5.47768218573525</v>
      </c>
      <c r="H320">
        <v>4</v>
      </c>
      <c r="I320">
        <v>6</v>
      </c>
      <c r="J320" s="1" t="s">
        <v>12</v>
      </c>
      <c r="K320" s="1" t="s">
        <v>17</v>
      </c>
    </row>
    <row r="321" spans="1:11" x14ac:dyDescent="0.3">
      <c r="A321" s="3">
        <v>44883.859456018516</v>
      </c>
      <c r="B321">
        <v>-107.863245045919</v>
      </c>
      <c r="C321">
        <v>17.796964266600899</v>
      </c>
      <c r="D321">
        <v>138.746860610206</v>
      </c>
      <c r="E321" s="1" t="s">
        <v>11</v>
      </c>
      <c r="F321">
        <v>11.689346795848399</v>
      </c>
      <c r="G321">
        <v>7.6984018526278799</v>
      </c>
      <c r="H321">
        <v>7</v>
      </c>
      <c r="I321">
        <v>38</v>
      </c>
      <c r="J321" s="1" t="s">
        <v>12</v>
      </c>
      <c r="K321" s="1" t="s">
        <v>17</v>
      </c>
    </row>
    <row r="322" spans="1:11" x14ac:dyDescent="0.3">
      <c r="A322" s="3">
        <v>44884.428888888891</v>
      </c>
      <c r="B322">
        <v>-98.935519853424694</v>
      </c>
      <c r="C322">
        <v>20.286999880159801</v>
      </c>
      <c r="D322">
        <v>298.88450092388803</v>
      </c>
      <c r="E322" s="1" t="s">
        <v>11</v>
      </c>
      <c r="F322">
        <v>11.2836167105795</v>
      </c>
      <c r="G322">
        <v>8.2180858388981495</v>
      </c>
      <c r="H322">
        <v>7</v>
      </c>
      <c r="I322">
        <v>38</v>
      </c>
      <c r="J322" s="1" t="s">
        <v>12</v>
      </c>
      <c r="K322" s="1" t="s">
        <v>17</v>
      </c>
    </row>
    <row r="323" spans="1:11" x14ac:dyDescent="0.3">
      <c r="A323" s="3">
        <v>44885.863159722219</v>
      </c>
      <c r="B323">
        <v>-74.907231972149901</v>
      </c>
      <c r="C323">
        <v>29.041618854305302</v>
      </c>
      <c r="D323">
        <v>1005.22675612737</v>
      </c>
      <c r="E323" s="1" t="s">
        <v>18</v>
      </c>
      <c r="F323">
        <v>3.4406512805751501</v>
      </c>
      <c r="G323">
        <v>7.1048502840705803</v>
      </c>
      <c r="H323">
        <v>5</v>
      </c>
      <c r="I323">
        <v>22</v>
      </c>
      <c r="J323" s="1" t="s">
        <v>12</v>
      </c>
      <c r="K323" s="1" t="s">
        <v>17</v>
      </c>
    </row>
    <row r="324" spans="1:11" x14ac:dyDescent="0.3">
      <c r="A324" s="3">
        <v>44886.527268518519</v>
      </c>
      <c r="B324">
        <v>-90.797594411830801</v>
      </c>
      <c r="C324">
        <v>17.113672147791998</v>
      </c>
      <c r="D324">
        <v>1159.7644980597299</v>
      </c>
      <c r="E324" s="1" t="s">
        <v>16</v>
      </c>
      <c r="F324">
        <v>0.79845490896298399</v>
      </c>
      <c r="G324">
        <v>8.1799613018742399</v>
      </c>
      <c r="H324">
        <v>1</v>
      </c>
      <c r="I324">
        <v>30</v>
      </c>
      <c r="J324" s="1" t="s">
        <v>15</v>
      </c>
      <c r="K324" s="1" t="s">
        <v>17</v>
      </c>
    </row>
    <row r="325" spans="1:11" x14ac:dyDescent="0.3">
      <c r="A325" s="3">
        <v>44887.411990740744</v>
      </c>
      <c r="B325">
        <v>-72.212303841441098</v>
      </c>
      <c r="C325">
        <v>19.072160344738499</v>
      </c>
      <c r="D325">
        <v>455.09413139397498</v>
      </c>
      <c r="E325" s="1" t="s">
        <v>18</v>
      </c>
      <c r="F325">
        <v>7.9568667276694596</v>
      </c>
      <c r="G325">
        <v>1.4138205047342201</v>
      </c>
      <c r="H325">
        <v>9</v>
      </c>
      <c r="I325">
        <v>49</v>
      </c>
      <c r="J325" s="1" t="s">
        <v>15</v>
      </c>
      <c r="K325" s="1" t="s">
        <v>17</v>
      </c>
    </row>
    <row r="326" spans="1:11" x14ac:dyDescent="0.3">
      <c r="A326" s="3">
        <v>44888.539421296293</v>
      </c>
      <c r="B326">
        <v>-68.634064913443396</v>
      </c>
      <c r="C326">
        <v>12.5221539998078</v>
      </c>
      <c r="D326">
        <v>525.19930929050997</v>
      </c>
      <c r="E326" s="1" t="s">
        <v>14</v>
      </c>
      <c r="F326">
        <v>0.96323852640017604</v>
      </c>
      <c r="G326">
        <v>7.5470498934917902</v>
      </c>
      <c r="H326">
        <v>7</v>
      </c>
      <c r="I326">
        <v>99</v>
      </c>
      <c r="J326" s="1" t="s">
        <v>15</v>
      </c>
      <c r="K326" s="1" t="s">
        <v>17</v>
      </c>
    </row>
    <row r="327" spans="1:11" x14ac:dyDescent="0.3">
      <c r="A327" s="3">
        <v>44889.775312500002</v>
      </c>
      <c r="B327">
        <v>-80.390367305200002</v>
      </c>
      <c r="C327">
        <v>11.691683814959401</v>
      </c>
      <c r="D327">
        <v>183.242323400076</v>
      </c>
      <c r="E327" s="1" t="s">
        <v>14</v>
      </c>
      <c r="F327">
        <v>8.5950978799719309</v>
      </c>
      <c r="G327">
        <v>0.187207742724287</v>
      </c>
      <c r="H327">
        <v>1</v>
      </c>
      <c r="I327">
        <v>87</v>
      </c>
      <c r="J327" s="1" t="s">
        <v>15</v>
      </c>
      <c r="K327" s="1" t="s">
        <v>13</v>
      </c>
    </row>
    <row r="328" spans="1:11" x14ac:dyDescent="0.3">
      <c r="A328" s="3">
        <v>44890.467407407406</v>
      </c>
      <c r="B328">
        <v>-76.733212277514994</v>
      </c>
      <c r="C328">
        <v>26.258406411770999</v>
      </c>
      <c r="D328">
        <v>568.35540277970301</v>
      </c>
      <c r="E328" s="1" t="s">
        <v>16</v>
      </c>
      <c r="F328">
        <v>0.163901034814493</v>
      </c>
      <c r="G328">
        <v>3.4972608244553101</v>
      </c>
      <c r="H328">
        <v>2</v>
      </c>
      <c r="I328">
        <v>6</v>
      </c>
      <c r="J328" s="1" t="s">
        <v>12</v>
      </c>
      <c r="K328" s="1" t="s">
        <v>17</v>
      </c>
    </row>
    <row r="329" spans="1:11" x14ac:dyDescent="0.3">
      <c r="A329" s="3">
        <v>44891.781261574077</v>
      </c>
      <c r="B329">
        <v>-75.203130068790998</v>
      </c>
      <c r="C329">
        <v>15.260982052807</v>
      </c>
      <c r="D329">
        <v>306.52590159840099</v>
      </c>
      <c r="E329" s="1" t="s">
        <v>14</v>
      </c>
      <c r="F329">
        <v>2.0955547330762299</v>
      </c>
      <c r="G329">
        <v>1.8862047948031899</v>
      </c>
      <c r="H329">
        <v>7</v>
      </c>
      <c r="I329">
        <v>53</v>
      </c>
      <c r="J329" s="1" t="s">
        <v>12</v>
      </c>
      <c r="K329" s="1" t="s">
        <v>13</v>
      </c>
    </row>
    <row r="330" spans="1:11" x14ac:dyDescent="0.3">
      <c r="A330" s="3">
        <v>44892.971944444442</v>
      </c>
      <c r="B330">
        <v>-99.811435669640602</v>
      </c>
      <c r="C330">
        <v>12.2551612933317</v>
      </c>
      <c r="D330">
        <v>550.19942289346102</v>
      </c>
      <c r="E330" s="1" t="s">
        <v>14</v>
      </c>
      <c r="F330">
        <v>6.7806870332277196</v>
      </c>
      <c r="G330">
        <v>1.2991773647803999</v>
      </c>
      <c r="H330">
        <v>10</v>
      </c>
      <c r="I330">
        <v>81</v>
      </c>
      <c r="J330" s="1" t="s">
        <v>15</v>
      </c>
      <c r="K330" s="1" t="s">
        <v>17</v>
      </c>
    </row>
    <row r="331" spans="1:11" x14ac:dyDescent="0.3">
      <c r="A331" s="3">
        <v>44893.960381944446</v>
      </c>
      <c r="B331">
        <v>-67.827522493477503</v>
      </c>
      <c r="C331">
        <v>18.377288582602301</v>
      </c>
      <c r="D331">
        <v>558.68010434341898</v>
      </c>
      <c r="E331" s="1" t="s">
        <v>16</v>
      </c>
      <c r="F331">
        <v>4.0327639468873198</v>
      </c>
      <c r="G331">
        <v>0.194868821502374</v>
      </c>
      <c r="H331">
        <v>2</v>
      </c>
      <c r="I331">
        <v>32</v>
      </c>
      <c r="J331" s="1" t="s">
        <v>12</v>
      </c>
      <c r="K331" s="1" t="s">
        <v>17</v>
      </c>
    </row>
    <row r="332" spans="1:11" x14ac:dyDescent="0.3">
      <c r="A332" s="3">
        <v>44894.496006944442</v>
      </c>
      <c r="B332">
        <v>-108.666047670441</v>
      </c>
      <c r="C332">
        <v>11.328668691202401</v>
      </c>
      <c r="D332">
        <v>1545.62053256338</v>
      </c>
      <c r="E332" s="1" t="s">
        <v>11</v>
      </c>
      <c r="F332">
        <v>9.73685636734408</v>
      </c>
      <c r="G332">
        <v>0.18326670991624899</v>
      </c>
      <c r="H332">
        <v>9</v>
      </c>
      <c r="I332">
        <v>50</v>
      </c>
      <c r="J332" s="1" t="s">
        <v>12</v>
      </c>
      <c r="K332" s="1" t="s">
        <v>17</v>
      </c>
    </row>
    <row r="333" spans="1:11" x14ac:dyDescent="0.3">
      <c r="A333" s="3">
        <v>44895.490243055552</v>
      </c>
      <c r="B333">
        <v>-83.759793783469902</v>
      </c>
      <c r="C333">
        <v>22.527563252780599</v>
      </c>
      <c r="D333">
        <v>1047.5274540523701</v>
      </c>
      <c r="E333" s="1" t="s">
        <v>11</v>
      </c>
      <c r="F333">
        <v>14.699734102511799</v>
      </c>
      <c r="G333">
        <v>2.3821439837286098</v>
      </c>
      <c r="H333">
        <v>6</v>
      </c>
      <c r="I333">
        <v>62</v>
      </c>
      <c r="J333" s="1" t="s">
        <v>15</v>
      </c>
      <c r="K333" s="1" t="s">
        <v>13</v>
      </c>
    </row>
    <row r="334" spans="1:11" x14ac:dyDescent="0.3">
      <c r="A334" s="3">
        <v>44896.819456018522</v>
      </c>
      <c r="B334">
        <v>-115.07567494113501</v>
      </c>
      <c r="C334">
        <v>14.2867053225968</v>
      </c>
      <c r="D334">
        <v>835.16126808112494</v>
      </c>
      <c r="E334" s="1" t="s">
        <v>16</v>
      </c>
      <c r="F334">
        <v>0.18690389800253099</v>
      </c>
      <c r="G334">
        <v>5.3109818650162</v>
      </c>
      <c r="H334">
        <v>1</v>
      </c>
      <c r="I334">
        <v>96</v>
      </c>
      <c r="J334" s="1" t="s">
        <v>15</v>
      </c>
      <c r="K334" s="1" t="s">
        <v>17</v>
      </c>
    </row>
    <row r="335" spans="1:11" x14ac:dyDescent="0.3">
      <c r="A335" s="3">
        <v>44897.529456018521</v>
      </c>
      <c r="B335">
        <v>-104.93871618799599</v>
      </c>
      <c r="C335">
        <v>13.2396396458197</v>
      </c>
      <c r="D335">
        <v>963.88994567933401</v>
      </c>
      <c r="E335" s="1" t="s">
        <v>11</v>
      </c>
      <c r="F335">
        <v>12.359976072820601</v>
      </c>
      <c r="G335">
        <v>5.5584004925104997</v>
      </c>
      <c r="H335">
        <v>2</v>
      </c>
      <c r="I335">
        <v>28</v>
      </c>
      <c r="J335" s="1" t="s">
        <v>15</v>
      </c>
      <c r="K335" s="1" t="s">
        <v>17</v>
      </c>
    </row>
    <row r="336" spans="1:11" x14ac:dyDescent="0.3">
      <c r="A336" s="3">
        <v>44898.676099537035</v>
      </c>
      <c r="B336">
        <v>-71.981466925647197</v>
      </c>
      <c r="C336">
        <v>11.501597603204999</v>
      </c>
      <c r="D336">
        <v>1721.23869922111</v>
      </c>
      <c r="E336" s="1" t="s">
        <v>14</v>
      </c>
      <c r="F336">
        <v>1.1773980976012599</v>
      </c>
      <c r="G336">
        <v>8.4196529816551795</v>
      </c>
      <c r="H336">
        <v>9</v>
      </c>
      <c r="I336">
        <v>18</v>
      </c>
      <c r="J336" s="1" t="s">
        <v>12</v>
      </c>
      <c r="K336" s="1" t="s">
        <v>13</v>
      </c>
    </row>
    <row r="337" spans="1:11" x14ac:dyDescent="0.3">
      <c r="A337" s="3">
        <v>44899.694803240738</v>
      </c>
      <c r="B337">
        <v>-78.944114682957505</v>
      </c>
      <c r="C337">
        <v>14.5000440281176</v>
      </c>
      <c r="D337">
        <v>252.416595011856</v>
      </c>
      <c r="E337" s="1" t="s">
        <v>18</v>
      </c>
      <c r="F337">
        <v>6.08462960276659</v>
      </c>
      <c r="G337">
        <v>9.1127867127572308</v>
      </c>
      <c r="H337">
        <v>5</v>
      </c>
      <c r="I337">
        <v>79</v>
      </c>
      <c r="J337" s="1" t="s">
        <v>15</v>
      </c>
      <c r="K337" s="1" t="s">
        <v>13</v>
      </c>
    </row>
    <row r="338" spans="1:11" x14ac:dyDescent="0.3">
      <c r="A338" s="3">
        <v>44900.449594907404</v>
      </c>
      <c r="B338">
        <v>-91.896376128621398</v>
      </c>
      <c r="C338">
        <v>19.744487439946798</v>
      </c>
      <c r="D338">
        <v>1447.57338989344</v>
      </c>
      <c r="E338" s="1" t="s">
        <v>14</v>
      </c>
      <c r="F338">
        <v>5.4060193327544104</v>
      </c>
      <c r="G338">
        <v>4.3399579544838502</v>
      </c>
      <c r="H338">
        <v>9</v>
      </c>
      <c r="I338">
        <v>26</v>
      </c>
      <c r="J338" s="1" t="s">
        <v>15</v>
      </c>
      <c r="K338" s="1" t="s">
        <v>17</v>
      </c>
    </row>
    <row r="339" spans="1:11" x14ac:dyDescent="0.3">
      <c r="A339" s="3">
        <v>44901.629317129627</v>
      </c>
      <c r="B339">
        <v>-82.4516914398517</v>
      </c>
      <c r="C339">
        <v>14.786130759555199</v>
      </c>
      <c r="D339">
        <v>1074.9170315579099</v>
      </c>
      <c r="E339" s="1" t="s">
        <v>11</v>
      </c>
      <c r="F339">
        <v>10.5014452868239</v>
      </c>
      <c r="G339">
        <v>8.8609037486615101</v>
      </c>
      <c r="H339">
        <v>2</v>
      </c>
      <c r="I339">
        <v>67</v>
      </c>
      <c r="J339" s="1" t="s">
        <v>12</v>
      </c>
      <c r="K339" s="1" t="s">
        <v>13</v>
      </c>
    </row>
    <row r="340" spans="1:11" x14ac:dyDescent="0.3">
      <c r="A340" s="3">
        <v>44902.788368055553</v>
      </c>
      <c r="B340">
        <v>-99.380517786246102</v>
      </c>
      <c r="C340">
        <v>27.215800883783398</v>
      </c>
      <c r="D340">
        <v>620.94787139944106</v>
      </c>
      <c r="E340" s="1" t="s">
        <v>11</v>
      </c>
      <c r="F340">
        <v>14.9397933547056</v>
      </c>
      <c r="G340">
        <v>2.8855952305185002</v>
      </c>
      <c r="H340">
        <v>10</v>
      </c>
      <c r="I340">
        <v>57</v>
      </c>
      <c r="J340" s="1" t="s">
        <v>15</v>
      </c>
      <c r="K340" s="1" t="s">
        <v>17</v>
      </c>
    </row>
    <row r="341" spans="1:11" x14ac:dyDescent="0.3">
      <c r="A341" s="3">
        <v>44903.742523148147</v>
      </c>
      <c r="B341">
        <v>-74.211207781949796</v>
      </c>
      <c r="C341">
        <v>29.872925536782201</v>
      </c>
      <c r="D341">
        <v>698.00304766445299</v>
      </c>
      <c r="E341" s="1" t="s">
        <v>18</v>
      </c>
      <c r="F341">
        <v>5.1082294904268997</v>
      </c>
      <c r="G341">
        <v>3.5398313706543201</v>
      </c>
      <c r="H341">
        <v>8</v>
      </c>
      <c r="I341">
        <v>98</v>
      </c>
      <c r="J341" s="1" t="s">
        <v>15</v>
      </c>
      <c r="K341" s="1" t="s">
        <v>17</v>
      </c>
    </row>
    <row r="342" spans="1:11" x14ac:dyDescent="0.3">
      <c r="A342" s="3">
        <v>44904.552083333336</v>
      </c>
      <c r="B342">
        <v>-64.621575723169499</v>
      </c>
      <c r="C342">
        <v>27.8120712455272</v>
      </c>
      <c r="D342">
        <v>667.92519627212903</v>
      </c>
      <c r="E342" s="1" t="s">
        <v>16</v>
      </c>
      <c r="F342">
        <v>4.6698142047054496</v>
      </c>
      <c r="G342">
        <v>8.3792690186322094</v>
      </c>
      <c r="H342">
        <v>1</v>
      </c>
      <c r="I342">
        <v>65</v>
      </c>
      <c r="J342" s="1" t="s">
        <v>12</v>
      </c>
      <c r="K342" s="1" t="s">
        <v>13</v>
      </c>
    </row>
    <row r="343" spans="1:11" x14ac:dyDescent="0.3">
      <c r="A343" s="3">
        <v>44905.701261574075</v>
      </c>
      <c r="B343">
        <v>-103.66481472955201</v>
      </c>
      <c r="C343">
        <v>26.222187314572398</v>
      </c>
      <c r="D343">
        <v>515.92954348134799</v>
      </c>
      <c r="E343" s="1" t="s">
        <v>16</v>
      </c>
      <c r="F343">
        <v>1.3835892678519099</v>
      </c>
      <c r="G343">
        <v>8.8541699067523094</v>
      </c>
      <c r="H343">
        <v>10</v>
      </c>
      <c r="I343">
        <v>62</v>
      </c>
      <c r="J343" s="1" t="s">
        <v>12</v>
      </c>
      <c r="K343" s="1" t="s">
        <v>17</v>
      </c>
    </row>
    <row r="344" spans="1:11" x14ac:dyDescent="0.3">
      <c r="A344" s="3">
        <v>44906.810046296298</v>
      </c>
      <c r="B344">
        <v>-87.365121855670395</v>
      </c>
      <c r="C344">
        <v>11.3163229519518</v>
      </c>
      <c r="D344">
        <v>991.15777907920801</v>
      </c>
      <c r="E344" s="1" t="s">
        <v>18</v>
      </c>
      <c r="F344">
        <v>2.1724752020611899</v>
      </c>
      <c r="G344">
        <v>1.4874809634161901</v>
      </c>
      <c r="H344">
        <v>2</v>
      </c>
      <c r="I344">
        <v>54</v>
      </c>
      <c r="J344" s="1" t="s">
        <v>15</v>
      </c>
      <c r="K344" s="1" t="s">
        <v>13</v>
      </c>
    </row>
    <row r="345" spans="1:11" x14ac:dyDescent="0.3">
      <c r="A345" s="3">
        <v>44907.649293981478</v>
      </c>
      <c r="B345">
        <v>-84.320620422794505</v>
      </c>
      <c r="C345">
        <v>11.301595061081199</v>
      </c>
      <c r="D345">
        <v>357.73772766439799</v>
      </c>
      <c r="E345" s="1" t="s">
        <v>16</v>
      </c>
      <c r="F345">
        <v>0.766244106190476</v>
      </c>
      <c r="G345">
        <v>2.6730047402385102</v>
      </c>
      <c r="H345">
        <v>2</v>
      </c>
      <c r="I345">
        <v>74</v>
      </c>
      <c r="J345" s="1" t="s">
        <v>15</v>
      </c>
      <c r="K345" s="1" t="s">
        <v>13</v>
      </c>
    </row>
    <row r="346" spans="1:11" x14ac:dyDescent="0.3">
      <c r="A346" s="3">
        <v>44908.471608796295</v>
      </c>
      <c r="B346">
        <v>-88.777605275305305</v>
      </c>
      <c r="C346">
        <v>26.066995807487</v>
      </c>
      <c r="D346">
        <v>1102.8379072226201</v>
      </c>
      <c r="E346" s="1" t="s">
        <v>18</v>
      </c>
      <c r="F346">
        <v>4.2993576391030297</v>
      </c>
      <c r="G346">
        <v>6.9513999310944099</v>
      </c>
      <c r="H346">
        <v>4</v>
      </c>
      <c r="I346">
        <v>75</v>
      </c>
      <c r="J346" s="1" t="s">
        <v>12</v>
      </c>
      <c r="K346" s="1" t="s">
        <v>13</v>
      </c>
    </row>
    <row r="347" spans="1:11" x14ac:dyDescent="0.3">
      <c r="A347" s="3">
        <v>44909.516562500001</v>
      </c>
      <c r="B347">
        <v>-96.735431931601696</v>
      </c>
      <c r="C347">
        <v>19.5304014024663</v>
      </c>
      <c r="D347">
        <v>1198.4165931867799</v>
      </c>
      <c r="E347" s="1" t="s">
        <v>18</v>
      </c>
      <c r="F347">
        <v>3.7466268126771398</v>
      </c>
      <c r="G347">
        <v>9.5256543517600694</v>
      </c>
      <c r="H347">
        <v>1</v>
      </c>
      <c r="I347">
        <v>68</v>
      </c>
      <c r="J347" s="1" t="s">
        <v>12</v>
      </c>
      <c r="K347" s="1" t="s">
        <v>17</v>
      </c>
    </row>
    <row r="348" spans="1:11" x14ac:dyDescent="0.3">
      <c r="A348" s="3">
        <v>44910.76158564815</v>
      </c>
      <c r="B348">
        <v>-72.653438336666696</v>
      </c>
      <c r="C348">
        <v>20.4723401495784</v>
      </c>
      <c r="D348">
        <v>429.85955726033097</v>
      </c>
      <c r="E348" s="1" t="s">
        <v>11</v>
      </c>
      <c r="F348">
        <v>10.829355474794699</v>
      </c>
      <c r="G348">
        <v>0.35206923576467097</v>
      </c>
      <c r="H348">
        <v>8</v>
      </c>
      <c r="I348">
        <v>89</v>
      </c>
      <c r="J348" s="1" t="s">
        <v>12</v>
      </c>
      <c r="K348" s="1" t="s">
        <v>13</v>
      </c>
    </row>
    <row r="349" spans="1:11" x14ac:dyDescent="0.3">
      <c r="A349" s="3">
        <v>44911.949930555558</v>
      </c>
      <c r="B349">
        <v>-118.681317718823</v>
      </c>
      <c r="C349">
        <v>15.3056533938586</v>
      </c>
      <c r="D349">
        <v>1621.47908513179</v>
      </c>
      <c r="E349" s="1" t="s">
        <v>16</v>
      </c>
      <c r="F349">
        <v>3.78369272956003</v>
      </c>
      <c r="G349">
        <v>1.66532712401922</v>
      </c>
      <c r="H349">
        <v>7</v>
      </c>
      <c r="I349">
        <v>83</v>
      </c>
      <c r="J349" s="1" t="s">
        <v>15</v>
      </c>
      <c r="K349" s="1" t="s">
        <v>17</v>
      </c>
    </row>
    <row r="350" spans="1:11" x14ac:dyDescent="0.3">
      <c r="A350" s="3">
        <v>44912.810740740744</v>
      </c>
      <c r="B350">
        <v>-89.732517463596196</v>
      </c>
      <c r="C350">
        <v>19.142353564531</v>
      </c>
      <c r="D350">
        <v>501.96757437722198</v>
      </c>
      <c r="E350" s="1" t="s">
        <v>16</v>
      </c>
      <c r="F350">
        <v>4.8917721065656803</v>
      </c>
      <c r="G350">
        <v>8.41692507672178</v>
      </c>
      <c r="H350">
        <v>4</v>
      </c>
      <c r="I350">
        <v>34</v>
      </c>
      <c r="J350" s="1" t="s">
        <v>15</v>
      </c>
      <c r="K350" s="1" t="s">
        <v>13</v>
      </c>
    </row>
    <row r="351" spans="1:11" x14ac:dyDescent="0.3">
      <c r="A351" s="3">
        <v>44913.87300925926</v>
      </c>
      <c r="B351">
        <v>-50.664413362160197</v>
      </c>
      <c r="C351">
        <v>27.910995770528601</v>
      </c>
      <c r="D351">
        <v>1068.8920554108199</v>
      </c>
      <c r="E351" s="1" t="s">
        <v>16</v>
      </c>
      <c r="F351">
        <v>3.61723132882915</v>
      </c>
      <c r="G351">
        <v>6.1730509378796903</v>
      </c>
      <c r="H351">
        <v>7</v>
      </c>
      <c r="I351">
        <v>63</v>
      </c>
      <c r="J351" s="1" t="s">
        <v>12</v>
      </c>
      <c r="K351" s="1" t="s">
        <v>17</v>
      </c>
    </row>
    <row r="352" spans="1:11" x14ac:dyDescent="0.3">
      <c r="A352" s="3">
        <v>44914.598576388889</v>
      </c>
      <c r="B352">
        <v>-84.189961052104294</v>
      </c>
      <c r="C352">
        <v>17.7363519640734</v>
      </c>
      <c r="D352">
        <v>831.22085176373298</v>
      </c>
      <c r="E352" s="1" t="s">
        <v>16</v>
      </c>
      <c r="F352">
        <v>3.5923447356490201</v>
      </c>
      <c r="G352">
        <v>2.9849052997871799</v>
      </c>
      <c r="H352">
        <v>5</v>
      </c>
      <c r="I352">
        <v>5</v>
      </c>
      <c r="J352" s="1" t="s">
        <v>15</v>
      </c>
      <c r="K352" s="1" t="s">
        <v>17</v>
      </c>
    </row>
    <row r="353" spans="1:11" x14ac:dyDescent="0.3">
      <c r="A353" s="3">
        <v>44915.475902777776</v>
      </c>
      <c r="B353">
        <v>-79.9191124219291</v>
      </c>
      <c r="C353">
        <v>13.646240629303801</v>
      </c>
      <c r="D353">
        <v>201.75625079120601</v>
      </c>
      <c r="E353" s="1" t="s">
        <v>16</v>
      </c>
      <c r="F353">
        <v>1.0629382701255801</v>
      </c>
      <c r="G353">
        <v>9.5845775811274798</v>
      </c>
      <c r="H353">
        <v>9</v>
      </c>
      <c r="I353">
        <v>76</v>
      </c>
      <c r="J353" s="1" t="s">
        <v>15</v>
      </c>
      <c r="K353" s="1" t="s">
        <v>13</v>
      </c>
    </row>
    <row r="354" spans="1:11" x14ac:dyDescent="0.3">
      <c r="A354" s="3">
        <v>44916.739363425928</v>
      </c>
      <c r="B354">
        <v>-71.522874080118001</v>
      </c>
      <c r="C354">
        <v>24.393179460770401</v>
      </c>
      <c r="D354">
        <v>1480.3090134066499</v>
      </c>
      <c r="E354" s="1" t="s">
        <v>11</v>
      </c>
      <c r="F354">
        <v>8.5416953678106893</v>
      </c>
      <c r="G354">
        <v>4.5620548922385202</v>
      </c>
      <c r="H354">
        <v>6</v>
      </c>
      <c r="I354">
        <v>52</v>
      </c>
      <c r="J354" s="1" t="s">
        <v>12</v>
      </c>
      <c r="K354" s="1" t="s">
        <v>13</v>
      </c>
    </row>
    <row r="355" spans="1:11" x14ac:dyDescent="0.3">
      <c r="A355" s="3">
        <v>44917.595833333333</v>
      </c>
      <c r="B355">
        <v>-104.518773184998</v>
      </c>
      <c r="C355">
        <v>13.843171326319901</v>
      </c>
      <c r="D355">
        <v>772.41233082881195</v>
      </c>
      <c r="E355" s="1" t="s">
        <v>16</v>
      </c>
      <c r="F355">
        <v>4.58441327806083</v>
      </c>
      <c r="G355">
        <v>6.2976566505315201</v>
      </c>
      <c r="H355">
        <v>1</v>
      </c>
      <c r="I355">
        <v>87</v>
      </c>
      <c r="J355" s="1" t="s">
        <v>15</v>
      </c>
      <c r="K355" s="1" t="s">
        <v>17</v>
      </c>
    </row>
    <row r="356" spans="1:11" x14ac:dyDescent="0.3">
      <c r="A356" s="3">
        <v>44918.803090277775</v>
      </c>
      <c r="B356">
        <v>-69.290274295330207</v>
      </c>
      <c r="C356">
        <v>15.412406246174401</v>
      </c>
      <c r="D356">
        <v>1696.59635956903</v>
      </c>
      <c r="E356" s="1" t="s">
        <v>16</v>
      </c>
      <c r="F356">
        <v>4.7278306372356003</v>
      </c>
      <c r="G356">
        <v>5.27858077268891</v>
      </c>
      <c r="H356">
        <v>7</v>
      </c>
      <c r="I356">
        <v>91</v>
      </c>
      <c r="J356" s="1" t="s">
        <v>15</v>
      </c>
      <c r="K356" s="1" t="s">
        <v>13</v>
      </c>
    </row>
    <row r="357" spans="1:11" x14ac:dyDescent="0.3">
      <c r="A357" s="3">
        <v>44919.955127314817</v>
      </c>
      <c r="B357">
        <v>-105.534118142772</v>
      </c>
      <c r="C357">
        <v>26.864067267420999</v>
      </c>
      <c r="D357">
        <v>1059.4101187138999</v>
      </c>
      <c r="E357" s="1" t="s">
        <v>11</v>
      </c>
      <c r="F357">
        <v>6.6559432696002103</v>
      </c>
      <c r="G357">
        <v>9.5276146839027103</v>
      </c>
      <c r="H357">
        <v>9</v>
      </c>
      <c r="I357">
        <v>29</v>
      </c>
      <c r="J357" s="1" t="s">
        <v>15</v>
      </c>
      <c r="K357" s="1" t="s">
        <v>17</v>
      </c>
    </row>
    <row r="358" spans="1:11" x14ac:dyDescent="0.3">
      <c r="A358" s="3">
        <v>44920.575821759259</v>
      </c>
      <c r="B358">
        <v>-64.809972065792607</v>
      </c>
      <c r="C358">
        <v>16.750780112827101</v>
      </c>
      <c r="D358">
        <v>554.15003216299601</v>
      </c>
      <c r="E358" s="1" t="s">
        <v>14</v>
      </c>
      <c r="F358">
        <v>4.8336667993857603</v>
      </c>
      <c r="G358">
        <v>7.8118732903488999</v>
      </c>
      <c r="H358">
        <v>5</v>
      </c>
      <c r="I358">
        <v>17</v>
      </c>
      <c r="J358" s="1" t="s">
        <v>15</v>
      </c>
      <c r="K358" s="1" t="s">
        <v>13</v>
      </c>
    </row>
    <row r="359" spans="1:11" x14ac:dyDescent="0.3">
      <c r="A359" s="3">
        <v>44921.43204861111</v>
      </c>
      <c r="B359">
        <v>-57.155934075970499</v>
      </c>
      <c r="C359">
        <v>13.959885452008001</v>
      </c>
      <c r="D359">
        <v>1474.72704713913</v>
      </c>
      <c r="E359" s="1" t="s">
        <v>16</v>
      </c>
      <c r="F359">
        <v>2.93377806986414</v>
      </c>
      <c r="G359">
        <v>2.0595678646666999</v>
      </c>
      <c r="H359">
        <v>9</v>
      </c>
      <c r="I359">
        <v>54</v>
      </c>
      <c r="J359" s="1" t="s">
        <v>15</v>
      </c>
      <c r="K359" s="1" t="s">
        <v>13</v>
      </c>
    </row>
    <row r="360" spans="1:11" x14ac:dyDescent="0.3">
      <c r="A360" s="3">
        <v>44922.889699074076</v>
      </c>
      <c r="B360">
        <v>-61.461306833424203</v>
      </c>
      <c r="C360">
        <v>25.836444237179499</v>
      </c>
      <c r="D360">
        <v>324.43364212341402</v>
      </c>
      <c r="E360" s="1" t="s">
        <v>14</v>
      </c>
      <c r="F360">
        <v>1.94269093097868</v>
      </c>
      <c r="G360">
        <v>2.60016564102119</v>
      </c>
      <c r="H360">
        <v>6</v>
      </c>
      <c r="I360">
        <v>10</v>
      </c>
      <c r="J360" s="1" t="s">
        <v>12</v>
      </c>
      <c r="K360" s="1" t="s">
        <v>17</v>
      </c>
    </row>
    <row r="361" spans="1:11" x14ac:dyDescent="0.3">
      <c r="A361" s="3">
        <v>44923.452037037037</v>
      </c>
      <c r="B361">
        <v>-99.142211945167006</v>
      </c>
      <c r="C361">
        <v>29.4788158591832</v>
      </c>
      <c r="D361">
        <v>495.05347689365902</v>
      </c>
      <c r="E361" s="1" t="s">
        <v>18</v>
      </c>
      <c r="F361">
        <v>5.5228634996239601</v>
      </c>
      <c r="G361">
        <v>9.3353781644956992</v>
      </c>
      <c r="H361">
        <v>9</v>
      </c>
      <c r="I361">
        <v>83</v>
      </c>
      <c r="J361" s="1" t="s">
        <v>12</v>
      </c>
      <c r="K361" s="1" t="s">
        <v>17</v>
      </c>
    </row>
    <row r="362" spans="1:11" x14ac:dyDescent="0.3">
      <c r="A362" s="3">
        <v>44924.477106481485</v>
      </c>
      <c r="B362">
        <v>-84.158888485715593</v>
      </c>
      <c r="C362">
        <v>27.514472260370301</v>
      </c>
      <c r="D362">
        <v>749.89246237131204</v>
      </c>
      <c r="E362" s="1" t="s">
        <v>16</v>
      </c>
      <c r="F362">
        <v>2.0513141438908198</v>
      </c>
      <c r="G362">
        <v>1.3580557072645401</v>
      </c>
      <c r="H362">
        <v>6</v>
      </c>
      <c r="I362">
        <v>56</v>
      </c>
      <c r="J362" s="1" t="s">
        <v>12</v>
      </c>
      <c r="K362" s="1" t="s">
        <v>17</v>
      </c>
    </row>
    <row r="363" spans="1:11" x14ac:dyDescent="0.3">
      <c r="A363" s="3">
        <v>44925.967800925922</v>
      </c>
      <c r="B363">
        <v>-76.354874774158901</v>
      </c>
      <c r="C363">
        <v>16.254858256601299</v>
      </c>
      <c r="D363">
        <v>845.84796304607596</v>
      </c>
      <c r="E363" s="1" t="s">
        <v>11</v>
      </c>
      <c r="F363">
        <v>8.6734930077482293</v>
      </c>
      <c r="G363">
        <v>9.5760396591500108</v>
      </c>
      <c r="H363">
        <v>5</v>
      </c>
      <c r="I363">
        <v>11</v>
      </c>
      <c r="J363" s="1" t="s">
        <v>12</v>
      </c>
      <c r="K363" s="1" t="s">
        <v>17</v>
      </c>
    </row>
    <row r="364" spans="1:11" x14ac:dyDescent="0.3">
      <c r="A364" s="3">
        <v>44926.943460648145</v>
      </c>
      <c r="B364">
        <v>-72.253225982908404</v>
      </c>
      <c r="C364">
        <v>28.000979759106698</v>
      </c>
      <c r="D364">
        <v>693.72632176777699</v>
      </c>
      <c r="E364" s="1" t="s">
        <v>11</v>
      </c>
      <c r="F364">
        <v>6.3423971351017903</v>
      </c>
      <c r="G364">
        <v>5.9882706937685404</v>
      </c>
      <c r="H364">
        <v>6</v>
      </c>
      <c r="I364">
        <v>33</v>
      </c>
      <c r="J364" s="1" t="s">
        <v>15</v>
      </c>
      <c r="K364" s="1" t="s">
        <v>17</v>
      </c>
    </row>
    <row r="365" spans="1:11" x14ac:dyDescent="0.3">
      <c r="A365" s="3">
        <v>44562.813900462963</v>
      </c>
      <c r="B365">
        <v>-75.205270459085</v>
      </c>
      <c r="C365">
        <v>29.961826867463</v>
      </c>
      <c r="D365">
        <v>1041.90207512596</v>
      </c>
      <c r="E365" s="1" t="s">
        <v>16</v>
      </c>
      <c r="F365">
        <v>4.3004650701526304</v>
      </c>
      <c r="G365">
        <v>1.58455348655662</v>
      </c>
      <c r="H365">
        <v>8</v>
      </c>
      <c r="I365">
        <v>42</v>
      </c>
      <c r="J365" s="1" t="s">
        <v>12</v>
      </c>
      <c r="K365" s="1" t="s">
        <v>13</v>
      </c>
    </row>
    <row r="366" spans="1:11" x14ac:dyDescent="0.3">
      <c r="A366" s="3">
        <v>44563.679594907408</v>
      </c>
      <c r="B366">
        <v>-65.700173616188493</v>
      </c>
      <c r="C366">
        <v>27.857896338945299</v>
      </c>
      <c r="D366">
        <v>1274.65549472674</v>
      </c>
      <c r="E366" s="1" t="s">
        <v>16</v>
      </c>
      <c r="F366">
        <v>4.7680666019671802</v>
      </c>
      <c r="G366">
        <v>0.68650633712584896</v>
      </c>
      <c r="H366">
        <v>5</v>
      </c>
      <c r="I366">
        <v>25</v>
      </c>
      <c r="J366" s="1" t="s">
        <v>12</v>
      </c>
      <c r="K366" s="1" t="s">
        <v>13</v>
      </c>
    </row>
    <row r="367" spans="1:11" x14ac:dyDescent="0.3">
      <c r="A367" s="3">
        <v>44564.684363425928</v>
      </c>
      <c r="B367">
        <v>-105.743858106942</v>
      </c>
      <c r="C367">
        <v>12.202887826416699</v>
      </c>
      <c r="D367">
        <v>871.02827333898495</v>
      </c>
      <c r="E367" s="1" t="s">
        <v>16</v>
      </c>
      <c r="F367">
        <v>4.2169032227588401</v>
      </c>
      <c r="G367">
        <v>2.6452133397322499</v>
      </c>
      <c r="H367">
        <v>5</v>
      </c>
      <c r="I367">
        <v>38</v>
      </c>
      <c r="J367" s="1" t="s">
        <v>15</v>
      </c>
      <c r="K367" s="1" t="s">
        <v>17</v>
      </c>
    </row>
    <row r="368" spans="1:11" x14ac:dyDescent="0.3">
      <c r="A368" s="3">
        <v>44565.705960648149</v>
      </c>
      <c r="B368">
        <v>-83.8115845397584</v>
      </c>
      <c r="C368">
        <v>18.328766693384299</v>
      </c>
      <c r="D368">
        <v>910.509883534457</v>
      </c>
      <c r="E368" s="1" t="s">
        <v>18</v>
      </c>
      <c r="F368">
        <v>4.9711388742445903</v>
      </c>
      <c r="G368">
        <v>7.1111675495312193E-2</v>
      </c>
      <c r="H368">
        <v>1</v>
      </c>
      <c r="I368">
        <v>75</v>
      </c>
      <c r="J368" s="1" t="s">
        <v>12</v>
      </c>
      <c r="K368" s="1" t="s">
        <v>13</v>
      </c>
    </row>
    <row r="369" spans="1:11" x14ac:dyDescent="0.3">
      <c r="A369" s="3">
        <v>44566.68173611111</v>
      </c>
      <c r="B369">
        <v>-88.143408808330406</v>
      </c>
      <c r="C369">
        <v>15.7804367875571</v>
      </c>
      <c r="D369">
        <v>1487.77377458764</v>
      </c>
      <c r="E369" s="1" t="s">
        <v>11</v>
      </c>
      <c r="F369">
        <v>7.3864616761841404</v>
      </c>
      <c r="G369">
        <v>2.4510683942384799</v>
      </c>
      <c r="H369">
        <v>5</v>
      </c>
      <c r="I369">
        <v>57</v>
      </c>
      <c r="J369" s="1" t="s">
        <v>12</v>
      </c>
      <c r="K369" s="1" t="s">
        <v>13</v>
      </c>
    </row>
    <row r="370" spans="1:11" x14ac:dyDescent="0.3">
      <c r="A370" s="3">
        <v>44567.639374999999</v>
      </c>
      <c r="B370">
        <v>-97.870099807465394</v>
      </c>
      <c r="C370">
        <v>23.811294095834601</v>
      </c>
      <c r="D370">
        <v>604.29298006036504</v>
      </c>
      <c r="E370" s="1" t="s">
        <v>14</v>
      </c>
      <c r="F370">
        <v>1.9426306689642701</v>
      </c>
      <c r="G370">
        <v>7.1379868054259896</v>
      </c>
      <c r="H370">
        <v>4</v>
      </c>
      <c r="I370">
        <v>18</v>
      </c>
      <c r="J370" s="1" t="s">
        <v>12</v>
      </c>
      <c r="K370" s="1" t="s">
        <v>13</v>
      </c>
    </row>
    <row r="371" spans="1:11" x14ac:dyDescent="0.3">
      <c r="A371" s="3">
        <v>44568.931597222225</v>
      </c>
      <c r="B371">
        <v>-83.753217523701693</v>
      </c>
      <c r="C371">
        <v>16.082385705467001</v>
      </c>
      <c r="D371">
        <v>168.033906921659</v>
      </c>
      <c r="E371" s="1" t="s">
        <v>16</v>
      </c>
      <c r="F371">
        <v>4.5153013605929004</v>
      </c>
      <c r="G371">
        <v>3.5655085251954</v>
      </c>
      <c r="H371">
        <v>2</v>
      </c>
      <c r="I371">
        <v>83</v>
      </c>
      <c r="J371" s="1" t="s">
        <v>12</v>
      </c>
      <c r="K371" s="1" t="s">
        <v>17</v>
      </c>
    </row>
    <row r="372" spans="1:11" x14ac:dyDescent="0.3">
      <c r="A372" s="3">
        <v>44569.982581018521</v>
      </c>
      <c r="B372">
        <v>-95.547265906666993</v>
      </c>
      <c r="C372">
        <v>28.157038060753901</v>
      </c>
      <c r="D372">
        <v>1439.79209607759</v>
      </c>
      <c r="E372" s="1" t="s">
        <v>16</v>
      </c>
      <c r="F372">
        <v>1.9769245378887099</v>
      </c>
      <c r="G372">
        <v>2.6470309163810599</v>
      </c>
      <c r="H372">
        <v>4</v>
      </c>
      <c r="I372">
        <v>3</v>
      </c>
      <c r="J372" s="1" t="s">
        <v>15</v>
      </c>
      <c r="K372" s="1" t="s">
        <v>13</v>
      </c>
    </row>
    <row r="373" spans="1:11" x14ac:dyDescent="0.3">
      <c r="A373" s="3">
        <v>44570.666886574072</v>
      </c>
      <c r="B373">
        <v>-94.891420922173396</v>
      </c>
      <c r="C373">
        <v>18.408588626322199</v>
      </c>
      <c r="D373">
        <v>1674.71469107605</v>
      </c>
      <c r="E373" s="1" t="s">
        <v>14</v>
      </c>
      <c r="F373">
        <v>5.5419405591974202</v>
      </c>
      <c r="G373">
        <v>7.5170947391688099</v>
      </c>
      <c r="H373">
        <v>2</v>
      </c>
      <c r="I373">
        <v>46</v>
      </c>
      <c r="J373" s="1" t="s">
        <v>12</v>
      </c>
      <c r="K373" s="1" t="s">
        <v>17</v>
      </c>
    </row>
    <row r="374" spans="1:11" x14ac:dyDescent="0.3">
      <c r="A374" s="3">
        <v>44571.948252314818</v>
      </c>
      <c r="B374">
        <v>-80.302784618774496</v>
      </c>
      <c r="C374">
        <v>20.6863020958356</v>
      </c>
      <c r="D374">
        <v>78.339648761741699</v>
      </c>
      <c r="E374" s="1" t="s">
        <v>14</v>
      </c>
      <c r="F374">
        <v>8.6437184551098092</v>
      </c>
      <c r="G374">
        <v>7.97413955954244</v>
      </c>
      <c r="H374">
        <v>6</v>
      </c>
      <c r="I374">
        <v>46</v>
      </c>
      <c r="J374" s="1" t="s">
        <v>15</v>
      </c>
      <c r="K374" s="1" t="s">
        <v>17</v>
      </c>
    </row>
    <row r="375" spans="1:11" x14ac:dyDescent="0.3">
      <c r="A375" s="3">
        <v>44572.643807870372</v>
      </c>
      <c r="B375">
        <v>-109.17744839861101</v>
      </c>
      <c r="C375">
        <v>14.1094401870541</v>
      </c>
      <c r="D375">
        <v>1055.3833654804901</v>
      </c>
      <c r="E375" s="1" t="s">
        <v>11</v>
      </c>
      <c r="F375">
        <v>9.7710680857656609</v>
      </c>
      <c r="G375">
        <v>5.9473190725161196</v>
      </c>
      <c r="H375">
        <v>7</v>
      </c>
      <c r="I375">
        <v>30</v>
      </c>
      <c r="J375" s="1" t="s">
        <v>15</v>
      </c>
      <c r="K375" s="1" t="s">
        <v>13</v>
      </c>
    </row>
    <row r="376" spans="1:11" x14ac:dyDescent="0.3">
      <c r="A376" s="3">
        <v>44573.478206018517</v>
      </c>
      <c r="B376">
        <v>-79.743760589819303</v>
      </c>
      <c r="C376">
        <v>28.2231615467133</v>
      </c>
      <c r="D376">
        <v>120.452952878123</v>
      </c>
      <c r="E376" s="1" t="s">
        <v>11</v>
      </c>
      <c r="F376">
        <v>13.1221607758308</v>
      </c>
      <c r="G376">
        <v>8.1372961802642294</v>
      </c>
      <c r="H376">
        <v>10</v>
      </c>
      <c r="I376">
        <v>45</v>
      </c>
      <c r="J376" s="1" t="s">
        <v>12</v>
      </c>
      <c r="K376" s="1" t="s">
        <v>17</v>
      </c>
    </row>
    <row r="377" spans="1:11" x14ac:dyDescent="0.3">
      <c r="A377" s="3">
        <v>44574.6093287037</v>
      </c>
      <c r="B377">
        <v>-59.435190047011197</v>
      </c>
      <c r="C377">
        <v>14.297011374129699</v>
      </c>
      <c r="D377">
        <v>1763.5035311357201</v>
      </c>
      <c r="E377" s="1" t="s">
        <v>16</v>
      </c>
      <c r="F377">
        <v>2.8193908880220402</v>
      </c>
      <c r="G377">
        <v>2.3896735221441801</v>
      </c>
      <c r="H377">
        <v>5</v>
      </c>
      <c r="I377">
        <v>56</v>
      </c>
      <c r="J377" s="1" t="s">
        <v>12</v>
      </c>
      <c r="K377" s="1" t="s">
        <v>17</v>
      </c>
    </row>
    <row r="378" spans="1:11" x14ac:dyDescent="0.3">
      <c r="A378" s="3">
        <v>44575.656967592593</v>
      </c>
      <c r="B378">
        <v>-77.918575957706594</v>
      </c>
      <c r="C378">
        <v>12.788558382354701</v>
      </c>
      <c r="D378">
        <v>669.66216479501202</v>
      </c>
      <c r="E378" s="1" t="s">
        <v>11</v>
      </c>
      <c r="F378">
        <v>6.9865246386795903</v>
      </c>
      <c r="G378">
        <v>9.1343985418727005</v>
      </c>
      <c r="H378">
        <v>6</v>
      </c>
      <c r="I378">
        <v>62</v>
      </c>
      <c r="J378" s="1" t="s">
        <v>12</v>
      </c>
      <c r="K378" s="1" t="s">
        <v>17</v>
      </c>
    </row>
    <row r="379" spans="1:11" x14ac:dyDescent="0.3">
      <c r="A379" s="3">
        <v>44576.97111111111</v>
      </c>
      <c r="B379">
        <v>-69.412185275418196</v>
      </c>
      <c r="C379">
        <v>15.506797100993399</v>
      </c>
      <c r="D379">
        <v>792.24986255669501</v>
      </c>
      <c r="E379" s="1" t="s">
        <v>14</v>
      </c>
      <c r="F379">
        <v>7.1141394092688097</v>
      </c>
      <c r="G379">
        <v>6.7094153362861899</v>
      </c>
      <c r="H379">
        <v>8</v>
      </c>
      <c r="I379">
        <v>9</v>
      </c>
      <c r="J379" s="1" t="s">
        <v>15</v>
      </c>
      <c r="K379" s="1" t="s">
        <v>13</v>
      </c>
    </row>
    <row r="380" spans="1:11" x14ac:dyDescent="0.3">
      <c r="A380" s="3">
        <v>44577.448391203703</v>
      </c>
      <c r="B380">
        <v>-94.904836022990295</v>
      </c>
      <c r="C380">
        <v>18.189532700997201</v>
      </c>
      <c r="D380">
        <v>554.15548990528305</v>
      </c>
      <c r="E380" s="1" t="s">
        <v>18</v>
      </c>
      <c r="F380">
        <v>3.0339868329130599</v>
      </c>
      <c r="G380">
        <v>0.82883492797753799</v>
      </c>
      <c r="H380">
        <v>7</v>
      </c>
      <c r="I380">
        <v>55</v>
      </c>
      <c r="J380" s="1" t="s">
        <v>15</v>
      </c>
      <c r="K380" s="1" t="s">
        <v>13</v>
      </c>
    </row>
    <row r="381" spans="1:11" x14ac:dyDescent="0.3">
      <c r="A381" s="3">
        <v>44578.711909722224</v>
      </c>
      <c r="B381">
        <v>-74.857234262207399</v>
      </c>
      <c r="C381">
        <v>23.856290324821199</v>
      </c>
      <c r="D381">
        <v>192.924710157985</v>
      </c>
      <c r="E381" s="1" t="s">
        <v>11</v>
      </c>
      <c r="F381">
        <v>11.9809492813819</v>
      </c>
      <c r="G381">
        <v>9.8184369294205993</v>
      </c>
      <c r="H381">
        <v>1</v>
      </c>
      <c r="I381">
        <v>50</v>
      </c>
      <c r="J381" s="1" t="s">
        <v>12</v>
      </c>
      <c r="K381" s="1" t="s">
        <v>17</v>
      </c>
    </row>
    <row r="382" spans="1:11" x14ac:dyDescent="0.3">
      <c r="A382" s="3">
        <v>44579.545810185184</v>
      </c>
      <c r="B382">
        <v>-86.628769202077805</v>
      </c>
      <c r="C382">
        <v>20.309612766163301</v>
      </c>
      <c r="D382">
        <v>580.70368164433603</v>
      </c>
      <c r="E382" s="1" t="s">
        <v>18</v>
      </c>
      <c r="F382">
        <v>2.3673499130925499</v>
      </c>
      <c r="G382">
        <v>6.4833578729781403</v>
      </c>
      <c r="H382">
        <v>5</v>
      </c>
      <c r="I382">
        <v>42</v>
      </c>
      <c r="J382" s="1" t="s">
        <v>12</v>
      </c>
      <c r="K382" s="1" t="s">
        <v>17</v>
      </c>
    </row>
    <row r="383" spans="1:11" x14ac:dyDescent="0.3">
      <c r="A383" s="3">
        <v>44580.682523148149</v>
      </c>
      <c r="B383">
        <v>-103.18654358091101</v>
      </c>
      <c r="C383">
        <v>29.192171210077401</v>
      </c>
      <c r="D383">
        <v>734.83120960995996</v>
      </c>
      <c r="E383" s="1" t="s">
        <v>18</v>
      </c>
      <c r="F383">
        <v>2.03532017533793</v>
      </c>
      <c r="G383">
        <v>2.9694619318035098</v>
      </c>
      <c r="H383">
        <v>10</v>
      </c>
      <c r="I383">
        <v>91</v>
      </c>
      <c r="J383" s="1" t="s">
        <v>12</v>
      </c>
      <c r="K383" s="1" t="s">
        <v>13</v>
      </c>
    </row>
    <row r="384" spans="1:11" x14ac:dyDescent="0.3">
      <c r="A384" s="3">
        <v>44581.950416666667</v>
      </c>
      <c r="B384">
        <v>-73.132304249092499</v>
      </c>
      <c r="C384">
        <v>13.8010285867907</v>
      </c>
      <c r="D384">
        <v>1684.1336549940299</v>
      </c>
      <c r="E384" s="1" t="s">
        <v>16</v>
      </c>
      <c r="F384">
        <v>1.6335627636672201</v>
      </c>
      <c r="G384">
        <v>4.7037846147680202</v>
      </c>
      <c r="H384">
        <v>10</v>
      </c>
      <c r="I384">
        <v>80</v>
      </c>
      <c r="J384" s="1" t="s">
        <v>12</v>
      </c>
      <c r="K384" s="1" t="s">
        <v>17</v>
      </c>
    </row>
    <row r="385" spans="1:11" x14ac:dyDescent="0.3">
      <c r="A385" s="3">
        <v>44582.399733796294</v>
      </c>
      <c r="B385">
        <v>-68.219083656235199</v>
      </c>
      <c r="C385">
        <v>23.082588053642802</v>
      </c>
      <c r="D385">
        <v>890.38741363455995</v>
      </c>
      <c r="E385" s="1" t="s">
        <v>16</v>
      </c>
      <c r="F385">
        <v>4.9903630580725098</v>
      </c>
      <c r="G385">
        <v>2.0532321119623198</v>
      </c>
      <c r="H385">
        <v>1</v>
      </c>
      <c r="I385">
        <v>30</v>
      </c>
      <c r="J385" s="1" t="s">
        <v>15</v>
      </c>
      <c r="K385" s="1" t="s">
        <v>17</v>
      </c>
    </row>
    <row r="386" spans="1:11" x14ac:dyDescent="0.3">
      <c r="A386" s="3">
        <v>44583.794247685182</v>
      </c>
      <c r="B386">
        <v>-86.295854250444094</v>
      </c>
      <c r="C386">
        <v>16.177975848237001</v>
      </c>
      <c r="D386">
        <v>433.12416628462103</v>
      </c>
      <c r="E386" s="1" t="s">
        <v>14</v>
      </c>
      <c r="F386">
        <v>2.9329347058064998</v>
      </c>
      <c r="G386">
        <v>6.3938428025128999</v>
      </c>
      <c r="H386">
        <v>3</v>
      </c>
      <c r="I386">
        <v>76</v>
      </c>
      <c r="J386" s="1" t="s">
        <v>12</v>
      </c>
      <c r="K386" s="1" t="s">
        <v>13</v>
      </c>
    </row>
    <row r="387" spans="1:11" x14ac:dyDescent="0.3">
      <c r="A387" s="3">
        <v>44584.730810185189</v>
      </c>
      <c r="B387">
        <v>-90.535654898727898</v>
      </c>
      <c r="C387">
        <v>21.876693288496099</v>
      </c>
      <c r="D387">
        <v>30.671304631699101</v>
      </c>
      <c r="E387" s="1" t="s">
        <v>18</v>
      </c>
      <c r="F387">
        <v>7.7537698310075598</v>
      </c>
      <c r="G387">
        <v>5.3322232161726699</v>
      </c>
      <c r="H387">
        <v>3</v>
      </c>
      <c r="I387">
        <v>81</v>
      </c>
      <c r="J387" s="1" t="s">
        <v>12</v>
      </c>
      <c r="K387" s="1" t="s">
        <v>17</v>
      </c>
    </row>
    <row r="388" spans="1:11" x14ac:dyDescent="0.3">
      <c r="A388" s="3">
        <v>44585.785787037035</v>
      </c>
      <c r="B388">
        <v>-105.28338719926199</v>
      </c>
      <c r="C388">
        <v>25.643445426600302</v>
      </c>
      <c r="D388">
        <v>923.77716443486804</v>
      </c>
      <c r="E388" s="1" t="s">
        <v>11</v>
      </c>
      <c r="F388">
        <v>11.664580535088</v>
      </c>
      <c r="G388">
        <v>8.7012918372036197</v>
      </c>
      <c r="H388">
        <v>2</v>
      </c>
      <c r="I388">
        <v>25</v>
      </c>
      <c r="J388" s="1" t="s">
        <v>15</v>
      </c>
      <c r="K388" s="1" t="s">
        <v>17</v>
      </c>
    </row>
    <row r="389" spans="1:11" x14ac:dyDescent="0.3">
      <c r="A389" s="3">
        <v>44586.735243055555</v>
      </c>
      <c r="B389">
        <v>-66.734551345755804</v>
      </c>
      <c r="C389">
        <v>25.955576209347601</v>
      </c>
      <c r="D389">
        <v>156.095027890935</v>
      </c>
      <c r="E389" s="1" t="s">
        <v>18</v>
      </c>
      <c r="F389">
        <v>4.0515962871129796</v>
      </c>
      <c r="G389">
        <v>6.5551794649316797</v>
      </c>
      <c r="H389">
        <v>1</v>
      </c>
      <c r="I389">
        <v>2</v>
      </c>
      <c r="J389" s="1" t="s">
        <v>15</v>
      </c>
      <c r="K389" s="1" t="s">
        <v>13</v>
      </c>
    </row>
    <row r="390" spans="1:11" x14ac:dyDescent="0.3">
      <c r="A390" s="3">
        <v>44587.395694444444</v>
      </c>
      <c r="B390">
        <v>-83.964511614985597</v>
      </c>
      <c r="C390">
        <v>13.8124317511696</v>
      </c>
      <c r="D390">
        <v>1408.02615826018</v>
      </c>
      <c r="E390" s="1" t="s">
        <v>18</v>
      </c>
      <c r="F390">
        <v>4.3049516685295099</v>
      </c>
      <c r="G390">
        <v>7.6557422313066601</v>
      </c>
      <c r="H390">
        <v>3</v>
      </c>
      <c r="I390">
        <v>75</v>
      </c>
      <c r="J390" s="1" t="s">
        <v>12</v>
      </c>
      <c r="K390" s="1" t="s">
        <v>17</v>
      </c>
    </row>
    <row r="391" spans="1:11" x14ac:dyDescent="0.3">
      <c r="A391" s="3">
        <v>44588.466145833336</v>
      </c>
      <c r="B391">
        <v>-81.263350298930305</v>
      </c>
      <c r="C391">
        <v>22.435889792596601</v>
      </c>
      <c r="D391">
        <v>826.62096865270303</v>
      </c>
      <c r="E391" s="1" t="s">
        <v>11</v>
      </c>
      <c r="F391">
        <v>9.6257439660920294</v>
      </c>
      <c r="G391">
        <v>0.63314525803670696</v>
      </c>
      <c r="H391">
        <v>6</v>
      </c>
      <c r="I391">
        <v>70</v>
      </c>
      <c r="J391" s="1" t="s">
        <v>12</v>
      </c>
      <c r="K391" s="1" t="s">
        <v>17</v>
      </c>
    </row>
    <row r="392" spans="1:11" x14ac:dyDescent="0.3">
      <c r="A392" s="3">
        <v>44589.788599537038</v>
      </c>
      <c r="B392">
        <v>-81.601686546599794</v>
      </c>
      <c r="C392">
        <v>18.289384480707099</v>
      </c>
      <c r="D392">
        <v>456.36965842149601</v>
      </c>
      <c r="E392" s="1" t="s">
        <v>14</v>
      </c>
      <c r="F392">
        <v>0.45424079109746501</v>
      </c>
      <c r="G392">
        <v>3.2624220551834902</v>
      </c>
      <c r="H392">
        <v>1</v>
      </c>
      <c r="I392">
        <v>87</v>
      </c>
      <c r="J392" s="1" t="s">
        <v>15</v>
      </c>
      <c r="K392" s="1" t="s">
        <v>13</v>
      </c>
    </row>
    <row r="393" spans="1:11" x14ac:dyDescent="0.3">
      <c r="A393" s="3">
        <v>44590.771261574075</v>
      </c>
      <c r="B393">
        <v>-72.554891864135698</v>
      </c>
      <c r="C393">
        <v>20.256760535586899</v>
      </c>
      <c r="D393">
        <v>1676.51891161151</v>
      </c>
      <c r="E393" s="1" t="s">
        <v>16</v>
      </c>
      <c r="F393">
        <v>1.7731645972360699</v>
      </c>
      <c r="G393">
        <v>4.8022305697787901</v>
      </c>
      <c r="H393">
        <v>8</v>
      </c>
      <c r="I393">
        <v>23</v>
      </c>
      <c r="J393" s="1" t="s">
        <v>15</v>
      </c>
      <c r="K393" s="1" t="s">
        <v>17</v>
      </c>
    </row>
    <row r="394" spans="1:11" x14ac:dyDescent="0.3">
      <c r="A394" s="3">
        <v>44591.400335648148</v>
      </c>
      <c r="B394">
        <v>-98.029357853937697</v>
      </c>
      <c r="C394">
        <v>20.858552074816501</v>
      </c>
      <c r="D394">
        <v>1201.0855686955199</v>
      </c>
      <c r="E394" s="1" t="s">
        <v>18</v>
      </c>
      <c r="F394">
        <v>2.7089718765492701</v>
      </c>
      <c r="G394">
        <v>5.0352575758380702</v>
      </c>
      <c r="H394">
        <v>5</v>
      </c>
      <c r="I394">
        <v>11</v>
      </c>
      <c r="J394" s="1" t="s">
        <v>15</v>
      </c>
      <c r="K394" s="1" t="s">
        <v>13</v>
      </c>
    </row>
    <row r="395" spans="1:11" x14ac:dyDescent="0.3">
      <c r="A395" s="3">
        <v>44592.828969907408</v>
      </c>
      <c r="B395">
        <v>-68.665932440204301</v>
      </c>
      <c r="C395">
        <v>27.155800743826099</v>
      </c>
      <c r="D395">
        <v>94.2933484418636</v>
      </c>
      <c r="E395" s="1" t="s">
        <v>18</v>
      </c>
      <c r="F395">
        <v>6.2241499819883996</v>
      </c>
      <c r="G395">
        <v>5.1427893429473697</v>
      </c>
      <c r="H395">
        <v>9</v>
      </c>
      <c r="I395">
        <v>3</v>
      </c>
      <c r="J395" s="1" t="s">
        <v>15</v>
      </c>
      <c r="K395" s="1" t="s">
        <v>13</v>
      </c>
    </row>
    <row r="396" spans="1:11" x14ac:dyDescent="0.3">
      <c r="A396" s="3">
        <v>44593.723854166667</v>
      </c>
      <c r="B396">
        <v>-80.973446101241805</v>
      </c>
      <c r="C396">
        <v>25.876571784318401</v>
      </c>
      <c r="D396">
        <v>1035.7029647499901</v>
      </c>
      <c r="E396" s="1" t="s">
        <v>16</v>
      </c>
      <c r="F396">
        <v>1.84469149325705</v>
      </c>
      <c r="G396">
        <v>5.6450636586335001</v>
      </c>
      <c r="H396">
        <v>8</v>
      </c>
      <c r="I396">
        <v>12</v>
      </c>
      <c r="J396" s="1" t="s">
        <v>12</v>
      </c>
      <c r="K396" s="1" t="s">
        <v>13</v>
      </c>
    </row>
    <row r="397" spans="1:11" x14ac:dyDescent="0.3">
      <c r="A397" s="3">
        <v>44594.479733796295</v>
      </c>
      <c r="B397">
        <v>-89.720191493346306</v>
      </c>
      <c r="C397">
        <v>28.599658055705302</v>
      </c>
      <c r="D397">
        <v>1612.9840519204099</v>
      </c>
      <c r="E397" s="1" t="s">
        <v>14</v>
      </c>
      <c r="F397">
        <v>5.9547710604853501</v>
      </c>
      <c r="G397">
        <v>2.0169007329936801</v>
      </c>
      <c r="H397">
        <v>8</v>
      </c>
      <c r="I397">
        <v>47</v>
      </c>
      <c r="J397" s="1" t="s">
        <v>12</v>
      </c>
      <c r="K397" s="1" t="s">
        <v>13</v>
      </c>
    </row>
    <row r="398" spans="1:11" x14ac:dyDescent="0.3">
      <c r="A398" s="3">
        <v>44595.643368055556</v>
      </c>
      <c r="B398">
        <v>-63.492403923721902</v>
      </c>
      <c r="C398">
        <v>15.8772778174806</v>
      </c>
      <c r="D398">
        <v>474.89486143941701</v>
      </c>
      <c r="E398" s="1" t="s">
        <v>16</v>
      </c>
      <c r="F398">
        <v>4.2254874773218203E-2</v>
      </c>
      <c r="G398">
        <v>5.7860497658446102</v>
      </c>
      <c r="H398">
        <v>4</v>
      </c>
      <c r="I398">
        <v>37</v>
      </c>
      <c r="J398" s="1" t="s">
        <v>15</v>
      </c>
      <c r="K398" s="1" t="s">
        <v>17</v>
      </c>
    </row>
    <row r="399" spans="1:11" x14ac:dyDescent="0.3">
      <c r="A399" s="3">
        <v>44596.58253472222</v>
      </c>
      <c r="B399">
        <v>-93.455637830947495</v>
      </c>
      <c r="C399">
        <v>18.101197295992002</v>
      </c>
      <c r="D399">
        <v>65.2846511909474</v>
      </c>
      <c r="E399" s="1" t="s">
        <v>18</v>
      </c>
      <c r="F399">
        <v>6.99715861932716</v>
      </c>
      <c r="G399">
        <v>5.40794797094083</v>
      </c>
      <c r="H399">
        <v>2</v>
      </c>
      <c r="I399">
        <v>97</v>
      </c>
      <c r="J399" s="1" t="s">
        <v>12</v>
      </c>
      <c r="K399" s="1" t="s">
        <v>13</v>
      </c>
    </row>
    <row r="400" spans="1:11" x14ac:dyDescent="0.3">
      <c r="A400" s="3">
        <v>44597.919745370367</v>
      </c>
      <c r="B400">
        <v>-67.219786615885397</v>
      </c>
      <c r="C400">
        <v>13.084205635412401</v>
      </c>
      <c r="D400">
        <v>1559.38283600154</v>
      </c>
      <c r="E400" s="1" t="s">
        <v>16</v>
      </c>
      <c r="F400">
        <v>0.66398591999187795</v>
      </c>
      <c r="G400">
        <v>8.4050777418566796</v>
      </c>
      <c r="H400">
        <v>9</v>
      </c>
      <c r="I400">
        <v>17</v>
      </c>
      <c r="J400" s="1" t="s">
        <v>12</v>
      </c>
      <c r="K400" s="1" t="s">
        <v>17</v>
      </c>
    </row>
    <row r="401" spans="1:11" x14ac:dyDescent="0.3">
      <c r="A401" s="3">
        <v>44598.967152777775</v>
      </c>
      <c r="B401">
        <v>-76.729923372653403</v>
      </c>
      <c r="C401">
        <v>25.510470826704999</v>
      </c>
      <c r="D401">
        <v>785.59870587829198</v>
      </c>
      <c r="E401" s="1" t="s">
        <v>14</v>
      </c>
      <c r="F401">
        <v>4.6282197346290301</v>
      </c>
      <c r="G401">
        <v>5.4219890709017298</v>
      </c>
      <c r="H401">
        <v>1</v>
      </c>
      <c r="I401">
        <v>1</v>
      </c>
      <c r="J401" s="1" t="s">
        <v>12</v>
      </c>
      <c r="K401" s="1" t="s">
        <v>17</v>
      </c>
    </row>
    <row r="402" spans="1:11" x14ac:dyDescent="0.3">
      <c r="A402" s="3">
        <v>44599.439641203702</v>
      </c>
      <c r="B402">
        <v>-71.507545277565598</v>
      </c>
      <c r="C402">
        <v>17.546362064715002</v>
      </c>
      <c r="D402">
        <v>1741.7535639370999</v>
      </c>
      <c r="E402" s="1" t="s">
        <v>18</v>
      </c>
      <c r="F402">
        <v>2.69992065239148</v>
      </c>
      <c r="G402">
        <v>2.48398821802073</v>
      </c>
      <c r="H402">
        <v>2</v>
      </c>
      <c r="I402">
        <v>29</v>
      </c>
      <c r="J402" s="1" t="s">
        <v>15</v>
      </c>
      <c r="K402" s="1" t="s">
        <v>13</v>
      </c>
    </row>
    <row r="403" spans="1:11" x14ac:dyDescent="0.3">
      <c r="A403" s="3">
        <v>44600.642870370371</v>
      </c>
      <c r="B403">
        <v>-89.572792739636597</v>
      </c>
      <c r="C403">
        <v>19.010286656843501</v>
      </c>
      <c r="D403">
        <v>920.88340106539295</v>
      </c>
      <c r="E403" s="1" t="s">
        <v>14</v>
      </c>
      <c r="F403">
        <v>8.7056307593603002</v>
      </c>
      <c r="G403">
        <v>3.6701752822115501</v>
      </c>
      <c r="H403">
        <v>8</v>
      </c>
      <c r="I403">
        <v>43</v>
      </c>
      <c r="J403" s="1" t="s">
        <v>15</v>
      </c>
      <c r="K403" s="1" t="s">
        <v>17</v>
      </c>
    </row>
    <row r="404" spans="1:11" x14ac:dyDescent="0.3">
      <c r="A404" s="3">
        <v>44601.770439814813</v>
      </c>
      <c r="B404">
        <v>-75.018895560604506</v>
      </c>
      <c r="C404">
        <v>28.763111696961399</v>
      </c>
      <c r="D404">
        <v>1783.16119351252</v>
      </c>
      <c r="E404" s="1" t="s">
        <v>18</v>
      </c>
      <c r="F404">
        <v>7.5769941412887398</v>
      </c>
      <c r="G404">
        <v>6.6024083167029097</v>
      </c>
      <c r="H404">
        <v>7</v>
      </c>
      <c r="I404">
        <v>69</v>
      </c>
      <c r="J404" s="1" t="s">
        <v>15</v>
      </c>
      <c r="K404" s="1" t="s">
        <v>13</v>
      </c>
    </row>
    <row r="405" spans="1:11" x14ac:dyDescent="0.3">
      <c r="A405" s="3">
        <v>44602.52820601852</v>
      </c>
      <c r="B405">
        <v>-99.473408361866802</v>
      </c>
      <c r="C405">
        <v>13.8405967808733</v>
      </c>
      <c r="D405">
        <v>463.40750620306699</v>
      </c>
      <c r="E405" s="1" t="s">
        <v>11</v>
      </c>
      <c r="F405">
        <v>7.2870925938821198</v>
      </c>
      <c r="G405">
        <v>4.6885826950143104</v>
      </c>
      <c r="H405">
        <v>8</v>
      </c>
      <c r="I405">
        <v>86</v>
      </c>
      <c r="J405" s="1" t="s">
        <v>15</v>
      </c>
      <c r="K405" s="1" t="s">
        <v>13</v>
      </c>
    </row>
    <row r="406" spans="1:11" x14ac:dyDescent="0.3">
      <c r="A406" s="3">
        <v>44603.753263888888</v>
      </c>
      <c r="B406">
        <v>-85.171326886449606</v>
      </c>
      <c r="C406">
        <v>23.131393754088698</v>
      </c>
      <c r="D406">
        <v>1535.95853281276</v>
      </c>
      <c r="E406" s="1" t="s">
        <v>11</v>
      </c>
      <c r="F406">
        <v>13.058010844443899</v>
      </c>
      <c r="G406">
        <v>9.0153136595931898</v>
      </c>
      <c r="H406">
        <v>8</v>
      </c>
      <c r="I406">
        <v>66</v>
      </c>
      <c r="J406" s="1" t="s">
        <v>15</v>
      </c>
      <c r="K406" s="1" t="s">
        <v>13</v>
      </c>
    </row>
    <row r="407" spans="1:11" x14ac:dyDescent="0.3">
      <c r="A407" s="3">
        <v>44604.831585648149</v>
      </c>
      <c r="B407">
        <v>-71.256720254046002</v>
      </c>
      <c r="C407">
        <v>20.672314071664999</v>
      </c>
      <c r="D407">
        <v>388.20612110539503</v>
      </c>
      <c r="E407" s="1" t="s">
        <v>14</v>
      </c>
      <c r="F407">
        <v>1.1396310498756499</v>
      </c>
      <c r="G407">
        <v>7.4553368679395797</v>
      </c>
      <c r="H407">
        <v>5</v>
      </c>
      <c r="I407">
        <v>17</v>
      </c>
      <c r="J407" s="1" t="s">
        <v>12</v>
      </c>
      <c r="K407" s="1" t="s">
        <v>13</v>
      </c>
    </row>
    <row r="408" spans="1:11" x14ac:dyDescent="0.3">
      <c r="A408" s="3">
        <v>44605.762465277781</v>
      </c>
      <c r="B408">
        <v>-99.505301760880897</v>
      </c>
      <c r="C408">
        <v>29.012158803457002</v>
      </c>
      <c r="D408">
        <v>1541.91341877229</v>
      </c>
      <c r="E408" s="1" t="s">
        <v>14</v>
      </c>
      <c r="F408">
        <v>2.9532493961972599</v>
      </c>
      <c r="G408">
        <v>9.72775737789493</v>
      </c>
      <c r="H408">
        <v>3</v>
      </c>
      <c r="I408">
        <v>71</v>
      </c>
      <c r="J408" s="1" t="s">
        <v>12</v>
      </c>
      <c r="K408" s="1" t="s">
        <v>13</v>
      </c>
    </row>
    <row r="409" spans="1:11" x14ac:dyDescent="0.3">
      <c r="A409" s="3">
        <v>44606.687523148146</v>
      </c>
      <c r="B409">
        <v>-94.304332538145303</v>
      </c>
      <c r="C409">
        <v>21.022139286695001</v>
      </c>
      <c r="D409">
        <v>1402.1977644931201</v>
      </c>
      <c r="E409" s="1" t="s">
        <v>11</v>
      </c>
      <c r="F409">
        <v>10.5488535587416</v>
      </c>
      <c r="G409">
        <v>7.4502100748516904</v>
      </c>
      <c r="H409">
        <v>8</v>
      </c>
      <c r="I409">
        <v>34</v>
      </c>
      <c r="J409" s="1" t="s">
        <v>12</v>
      </c>
      <c r="K409" s="1" t="s">
        <v>17</v>
      </c>
    </row>
    <row r="410" spans="1:11" x14ac:dyDescent="0.3">
      <c r="A410" s="3">
        <v>44607.709930555553</v>
      </c>
      <c r="B410">
        <v>-100.665524471071</v>
      </c>
      <c r="C410">
        <v>21.989502848831499</v>
      </c>
      <c r="D410">
        <v>1738.53821212203</v>
      </c>
      <c r="E410" s="1" t="s">
        <v>18</v>
      </c>
      <c r="F410">
        <v>3.8244171616511999</v>
      </c>
      <c r="G410">
        <v>1.1645331894153199</v>
      </c>
      <c r="H410">
        <v>9</v>
      </c>
      <c r="I410">
        <v>89</v>
      </c>
      <c r="J410" s="1" t="s">
        <v>12</v>
      </c>
      <c r="K410" s="1" t="s">
        <v>17</v>
      </c>
    </row>
    <row r="411" spans="1:11" x14ac:dyDescent="0.3">
      <c r="A411" s="3">
        <v>44608.460416666669</v>
      </c>
      <c r="B411">
        <v>-68.345348982060401</v>
      </c>
      <c r="C411">
        <v>11.9541654959579</v>
      </c>
      <c r="D411">
        <v>435.724200253025</v>
      </c>
      <c r="E411" s="1" t="s">
        <v>18</v>
      </c>
      <c r="F411">
        <v>7.7607760268935797</v>
      </c>
      <c r="G411">
        <v>3.3082883692765299</v>
      </c>
      <c r="H411">
        <v>9</v>
      </c>
      <c r="I411">
        <v>73</v>
      </c>
      <c r="J411" s="1" t="s">
        <v>12</v>
      </c>
      <c r="K411" s="1" t="s">
        <v>17</v>
      </c>
    </row>
    <row r="412" spans="1:11" x14ac:dyDescent="0.3">
      <c r="A412" s="3">
        <v>44609.809918981482</v>
      </c>
      <c r="B412">
        <v>-95.132537223082807</v>
      </c>
      <c r="C412">
        <v>15.671716607808399</v>
      </c>
      <c r="D412">
        <v>1511.56641222445</v>
      </c>
      <c r="E412" s="1" t="s">
        <v>11</v>
      </c>
      <c r="F412">
        <v>10.117210013919999</v>
      </c>
      <c r="G412">
        <v>1.51438158644089</v>
      </c>
      <c r="H412">
        <v>3</v>
      </c>
      <c r="I412">
        <v>70</v>
      </c>
      <c r="J412" s="1" t="s">
        <v>15</v>
      </c>
      <c r="K412" s="1" t="s">
        <v>17</v>
      </c>
    </row>
    <row r="413" spans="1:11" x14ac:dyDescent="0.3">
      <c r="A413" s="3">
        <v>44610.602696759262</v>
      </c>
      <c r="B413">
        <v>-84.956229653949507</v>
      </c>
      <c r="C413">
        <v>29.566359386936998</v>
      </c>
      <c r="D413">
        <v>1396.9513028798499</v>
      </c>
      <c r="E413" s="1" t="s">
        <v>18</v>
      </c>
      <c r="F413">
        <v>7.7668073173908896</v>
      </c>
      <c r="G413">
        <v>6.0632026463065696</v>
      </c>
      <c r="H413">
        <v>9</v>
      </c>
      <c r="I413">
        <v>74</v>
      </c>
      <c r="J413" s="1" t="s">
        <v>12</v>
      </c>
      <c r="K413" s="1" t="s">
        <v>13</v>
      </c>
    </row>
    <row r="414" spans="1:11" x14ac:dyDescent="0.3">
      <c r="A414" s="3">
        <v>44611.410312499997</v>
      </c>
      <c r="B414">
        <v>-82.552024583805306</v>
      </c>
      <c r="C414">
        <v>23.020908633321501</v>
      </c>
      <c r="D414">
        <v>438.22343584266798</v>
      </c>
      <c r="E414" s="1" t="s">
        <v>14</v>
      </c>
      <c r="F414">
        <v>3.3227245512994998</v>
      </c>
      <c r="G414">
        <v>1.0977960959341699</v>
      </c>
      <c r="H414">
        <v>8</v>
      </c>
      <c r="I414">
        <v>60</v>
      </c>
      <c r="J414" s="1" t="s">
        <v>12</v>
      </c>
      <c r="K414" s="1" t="s">
        <v>13</v>
      </c>
    </row>
    <row r="415" spans="1:11" x14ac:dyDescent="0.3">
      <c r="A415" s="3">
        <v>44612.604780092595</v>
      </c>
      <c r="B415">
        <v>-106.133142964071</v>
      </c>
      <c r="C415">
        <v>24.106440376040101</v>
      </c>
      <c r="D415">
        <v>1677.35900724676</v>
      </c>
      <c r="E415" s="1" t="s">
        <v>11</v>
      </c>
      <c r="F415">
        <v>9.6406253189347808</v>
      </c>
      <c r="G415">
        <v>6.4269553399874599</v>
      </c>
      <c r="H415">
        <v>5</v>
      </c>
      <c r="I415">
        <v>62</v>
      </c>
      <c r="J415" s="1" t="s">
        <v>15</v>
      </c>
      <c r="K415" s="1" t="s">
        <v>13</v>
      </c>
    </row>
    <row r="416" spans="1:11" x14ac:dyDescent="0.3">
      <c r="A416" s="3">
        <v>44613.603090277778</v>
      </c>
      <c r="B416">
        <v>-79.729717398356101</v>
      </c>
      <c r="C416">
        <v>26.436393640696501</v>
      </c>
      <c r="D416">
        <v>670.26123435285899</v>
      </c>
      <c r="E416" s="1" t="s">
        <v>11</v>
      </c>
      <c r="F416">
        <v>12.3050709237699</v>
      </c>
      <c r="G416">
        <v>9.2574461099650591</v>
      </c>
      <c r="H416">
        <v>6</v>
      </c>
      <c r="I416">
        <v>69</v>
      </c>
      <c r="J416" s="1" t="s">
        <v>12</v>
      </c>
      <c r="K416" s="1" t="s">
        <v>17</v>
      </c>
    </row>
    <row r="417" spans="1:11" x14ac:dyDescent="0.3">
      <c r="A417" s="3">
        <v>44614.839768518519</v>
      </c>
      <c r="B417">
        <v>-99.263019928702306</v>
      </c>
      <c r="C417">
        <v>12.7371423622288</v>
      </c>
      <c r="D417">
        <v>742.53611913812404</v>
      </c>
      <c r="E417" s="1" t="s">
        <v>18</v>
      </c>
      <c r="F417">
        <v>6.0495813791948096</v>
      </c>
      <c r="G417">
        <v>4.8409124740102296</v>
      </c>
      <c r="H417">
        <v>10</v>
      </c>
      <c r="I417">
        <v>7</v>
      </c>
      <c r="J417" s="1" t="s">
        <v>12</v>
      </c>
      <c r="K417" s="1" t="s">
        <v>17</v>
      </c>
    </row>
    <row r="418" spans="1:11" x14ac:dyDescent="0.3">
      <c r="A418" s="3">
        <v>44615.467118055552</v>
      </c>
      <c r="B418">
        <v>-98.000058572189602</v>
      </c>
      <c r="C418">
        <v>27.620506793114298</v>
      </c>
      <c r="D418">
        <v>1050.17876749064</v>
      </c>
      <c r="E418" s="1" t="s">
        <v>16</v>
      </c>
      <c r="F418">
        <v>0.51699795489741796</v>
      </c>
      <c r="G418">
        <v>3.0617486172839601</v>
      </c>
      <c r="H418">
        <v>1</v>
      </c>
      <c r="I418">
        <v>53</v>
      </c>
      <c r="J418" s="1" t="s">
        <v>12</v>
      </c>
      <c r="K418" s="1" t="s">
        <v>17</v>
      </c>
    </row>
    <row r="419" spans="1:11" x14ac:dyDescent="0.3">
      <c r="A419" s="3">
        <v>44616.427893518521</v>
      </c>
      <c r="B419">
        <v>-65.144903060654599</v>
      </c>
      <c r="C419">
        <v>14.1250153242806</v>
      </c>
      <c r="D419">
        <v>250.379665262966</v>
      </c>
      <c r="E419" s="1" t="s">
        <v>16</v>
      </c>
      <c r="F419">
        <v>3.6710882068017199</v>
      </c>
      <c r="G419">
        <v>0.99060806204904495</v>
      </c>
      <c r="H419">
        <v>8</v>
      </c>
      <c r="I419">
        <v>64</v>
      </c>
      <c r="J419" s="1" t="s">
        <v>15</v>
      </c>
      <c r="K419" s="1" t="s">
        <v>17</v>
      </c>
    </row>
    <row r="420" spans="1:11" x14ac:dyDescent="0.3">
      <c r="A420" s="3">
        <v>44617.523009259261</v>
      </c>
      <c r="B420">
        <v>-98.782744106010597</v>
      </c>
      <c r="C420">
        <v>21.0707027150568</v>
      </c>
      <c r="D420">
        <v>517.66211014542102</v>
      </c>
      <c r="E420" s="1" t="s">
        <v>16</v>
      </c>
      <c r="F420">
        <v>0.127614289227517</v>
      </c>
      <c r="G420">
        <v>3.4343231205029801</v>
      </c>
      <c r="H420">
        <v>9</v>
      </c>
      <c r="I420">
        <v>78</v>
      </c>
      <c r="J420" s="1" t="s">
        <v>12</v>
      </c>
      <c r="K420" s="1" t="s">
        <v>17</v>
      </c>
    </row>
    <row r="421" spans="1:11" x14ac:dyDescent="0.3">
      <c r="A421" s="3">
        <v>44618.569386574076</v>
      </c>
      <c r="B421">
        <v>-73.822920155344804</v>
      </c>
      <c r="C421">
        <v>17.3920484050265</v>
      </c>
      <c r="D421">
        <v>366.94975945240299</v>
      </c>
      <c r="E421" s="1" t="s">
        <v>18</v>
      </c>
      <c r="F421">
        <v>5.9266484868052496</v>
      </c>
      <c r="G421">
        <v>4.5770060080507404</v>
      </c>
      <c r="H421">
        <v>4</v>
      </c>
      <c r="I421">
        <v>47</v>
      </c>
      <c r="J421" s="1" t="s">
        <v>12</v>
      </c>
      <c r="K421" s="1" t="s">
        <v>13</v>
      </c>
    </row>
    <row r="422" spans="1:11" x14ac:dyDescent="0.3">
      <c r="A422" s="3">
        <v>44619.537465277775</v>
      </c>
      <c r="B422">
        <v>-92.101596511246896</v>
      </c>
      <c r="C422">
        <v>10.538339564996599</v>
      </c>
      <c r="D422">
        <v>139.673289434395</v>
      </c>
      <c r="E422" s="1" t="s">
        <v>14</v>
      </c>
      <c r="F422">
        <v>7.4603001932556303</v>
      </c>
      <c r="G422">
        <v>6.6392471309417198</v>
      </c>
      <c r="H422">
        <v>9</v>
      </c>
      <c r="I422">
        <v>90</v>
      </c>
      <c r="J422" s="1" t="s">
        <v>15</v>
      </c>
      <c r="K422" s="1" t="s">
        <v>13</v>
      </c>
    </row>
    <row r="423" spans="1:11" x14ac:dyDescent="0.3">
      <c r="A423" s="3">
        <v>44620.684895833336</v>
      </c>
      <c r="B423">
        <v>-50.122221876305602</v>
      </c>
      <c r="C423">
        <v>27.5115133301219</v>
      </c>
      <c r="D423">
        <v>1499.09040356531</v>
      </c>
      <c r="E423" s="1" t="s">
        <v>16</v>
      </c>
      <c r="F423">
        <v>3.6312661727207902</v>
      </c>
      <c r="G423">
        <v>6.8798637932164004</v>
      </c>
      <c r="H423">
        <v>10</v>
      </c>
      <c r="I423">
        <v>57</v>
      </c>
      <c r="J423" s="1" t="s">
        <v>15</v>
      </c>
      <c r="K423" s="1" t="s">
        <v>17</v>
      </c>
    </row>
    <row r="424" spans="1:11" x14ac:dyDescent="0.3">
      <c r="A424" s="1" t="s">
        <v>19</v>
      </c>
      <c r="B424">
        <v>-64.923228400977194</v>
      </c>
      <c r="C424">
        <v>21.674904073970101</v>
      </c>
      <c r="D424">
        <v>1392.02341032192</v>
      </c>
      <c r="E424" s="1" t="s">
        <v>14</v>
      </c>
      <c r="F424">
        <v>3.1540484735340302</v>
      </c>
      <c r="G424">
        <v>8.3160671620430193</v>
      </c>
      <c r="H424">
        <v>2</v>
      </c>
      <c r="I424">
        <v>58</v>
      </c>
      <c r="J424" s="1" t="s">
        <v>15</v>
      </c>
      <c r="K424" s="1" t="s">
        <v>13</v>
      </c>
    </row>
    <row r="425" spans="1:11" x14ac:dyDescent="0.3">
      <c r="A425" s="3">
        <v>44621.666944444441</v>
      </c>
      <c r="B425">
        <v>-94.948763686327496</v>
      </c>
      <c r="C425">
        <v>17.026501965172201</v>
      </c>
      <c r="D425">
        <v>1330.7328253128501</v>
      </c>
      <c r="E425" s="1" t="s">
        <v>18</v>
      </c>
      <c r="F425">
        <v>4.2727655557842299</v>
      </c>
      <c r="G425">
        <v>6.1324063554237203</v>
      </c>
      <c r="H425">
        <v>4</v>
      </c>
      <c r="I425">
        <v>52</v>
      </c>
      <c r="J425" s="1" t="s">
        <v>15</v>
      </c>
      <c r="K425" s="1" t="s">
        <v>13</v>
      </c>
    </row>
    <row r="426" spans="1:11" x14ac:dyDescent="0.3">
      <c r="A426" s="3">
        <v>44622.91851851852</v>
      </c>
      <c r="B426">
        <v>-82.374030111560799</v>
      </c>
      <c r="C426">
        <v>17.434352455213201</v>
      </c>
      <c r="D426">
        <v>858.51562139612395</v>
      </c>
      <c r="E426" s="1" t="s">
        <v>11</v>
      </c>
      <c r="F426">
        <v>9.1638076867117704</v>
      </c>
      <c r="G426">
        <v>1.4646178254951401</v>
      </c>
      <c r="H426">
        <v>7</v>
      </c>
      <c r="I426">
        <v>39</v>
      </c>
      <c r="J426" s="1" t="s">
        <v>15</v>
      </c>
      <c r="K426" s="1" t="s">
        <v>17</v>
      </c>
    </row>
    <row r="427" spans="1:11" x14ac:dyDescent="0.3">
      <c r="A427" s="3">
        <v>44623.699664351851</v>
      </c>
      <c r="B427">
        <v>-93.259084404078905</v>
      </c>
      <c r="C427">
        <v>19.424453079118098</v>
      </c>
      <c r="D427">
        <v>1265.5263361310599</v>
      </c>
      <c r="E427" s="1" t="s">
        <v>11</v>
      </c>
      <c r="F427">
        <v>8.0115760467077806</v>
      </c>
      <c r="G427">
        <v>0.32529260137196198</v>
      </c>
      <c r="H427">
        <v>6</v>
      </c>
      <c r="I427">
        <v>11</v>
      </c>
      <c r="J427" s="1" t="s">
        <v>15</v>
      </c>
      <c r="K427" s="1" t="s">
        <v>13</v>
      </c>
    </row>
    <row r="428" spans="1:11" x14ac:dyDescent="0.3">
      <c r="A428" s="3">
        <v>44624.523472222223</v>
      </c>
      <c r="B428">
        <v>-93.424331290052507</v>
      </c>
      <c r="C428">
        <v>28.8348285893317</v>
      </c>
      <c r="D428">
        <v>1783.4587094393301</v>
      </c>
      <c r="E428" s="1" t="s">
        <v>14</v>
      </c>
      <c r="F428">
        <v>2.9122847888057399</v>
      </c>
      <c r="G428">
        <v>8.1751053531538407</v>
      </c>
      <c r="H428">
        <v>5</v>
      </c>
      <c r="I428">
        <v>34</v>
      </c>
      <c r="J428" s="1" t="s">
        <v>12</v>
      </c>
      <c r="K428" s="1" t="s">
        <v>17</v>
      </c>
    </row>
    <row r="429" spans="1:11" x14ac:dyDescent="0.3">
      <c r="A429" s="3">
        <v>44625.839386574073</v>
      </c>
      <c r="B429">
        <v>-109.731554646444</v>
      </c>
      <c r="C429">
        <v>13.171237241182</v>
      </c>
      <c r="D429">
        <v>1715.7469137355699</v>
      </c>
      <c r="E429" s="1" t="s">
        <v>16</v>
      </c>
      <c r="F429">
        <v>2.8329543403696902</v>
      </c>
      <c r="G429">
        <v>6.0611452202537697</v>
      </c>
      <c r="H429">
        <v>8</v>
      </c>
      <c r="I429">
        <v>38</v>
      </c>
      <c r="J429" s="1" t="s">
        <v>12</v>
      </c>
      <c r="K429" s="1" t="s">
        <v>17</v>
      </c>
    </row>
    <row r="430" spans="1:11" x14ac:dyDescent="0.3">
      <c r="A430" s="3">
        <v>44626.529513888891</v>
      </c>
      <c r="B430">
        <v>-75.592266207304405</v>
      </c>
      <c r="C430">
        <v>19.886349340290401</v>
      </c>
      <c r="D430">
        <v>1018.36421186632</v>
      </c>
      <c r="E430" s="1" t="s">
        <v>18</v>
      </c>
      <c r="F430">
        <v>2.0466214210014502</v>
      </c>
      <c r="G430">
        <v>8.6571989886117002</v>
      </c>
      <c r="H430">
        <v>7</v>
      </c>
      <c r="I430">
        <v>36</v>
      </c>
      <c r="J430" s="1" t="s">
        <v>15</v>
      </c>
      <c r="K430" s="1" t="s">
        <v>13</v>
      </c>
    </row>
    <row r="431" spans="1:11" x14ac:dyDescent="0.3">
      <c r="A431" s="3">
        <v>44627.984085648146</v>
      </c>
      <c r="B431">
        <v>-113.361762064489</v>
      </c>
      <c r="C431">
        <v>14.384146008357099</v>
      </c>
      <c r="D431">
        <v>39.376341820752202</v>
      </c>
      <c r="E431" s="1" t="s">
        <v>16</v>
      </c>
      <c r="F431">
        <v>4.2342964493985802</v>
      </c>
      <c r="G431">
        <v>4.5913161296371099</v>
      </c>
      <c r="H431">
        <v>6</v>
      </c>
      <c r="I431">
        <v>74</v>
      </c>
      <c r="J431" s="1" t="s">
        <v>15</v>
      </c>
      <c r="K431" s="1" t="s">
        <v>17</v>
      </c>
    </row>
    <row r="432" spans="1:11" x14ac:dyDescent="0.3">
      <c r="A432" s="3">
        <v>44628.548379629632</v>
      </c>
      <c r="B432">
        <v>-113.537048785921</v>
      </c>
      <c r="C432">
        <v>14.821868370257199</v>
      </c>
      <c r="D432">
        <v>1780.41136871956</v>
      </c>
      <c r="E432" s="1" t="s">
        <v>16</v>
      </c>
      <c r="F432">
        <v>2.21374761620116</v>
      </c>
      <c r="G432">
        <v>1.06588081239511</v>
      </c>
      <c r="H432">
        <v>4</v>
      </c>
      <c r="I432">
        <v>28</v>
      </c>
      <c r="J432" s="1" t="s">
        <v>15</v>
      </c>
      <c r="K432" s="1" t="s">
        <v>13</v>
      </c>
    </row>
    <row r="433" spans="1:11" x14ac:dyDescent="0.3">
      <c r="A433" s="3">
        <v>44629.50744212963</v>
      </c>
      <c r="B433">
        <v>-84.615492249551593</v>
      </c>
      <c r="C433">
        <v>24.7748483659689</v>
      </c>
      <c r="D433">
        <v>28.5983565205727</v>
      </c>
      <c r="E433" s="1" t="s">
        <v>14</v>
      </c>
      <c r="F433">
        <v>1.6911158656493801</v>
      </c>
      <c r="G433">
        <v>5.7562363955605704</v>
      </c>
      <c r="H433">
        <v>2</v>
      </c>
      <c r="I433">
        <v>55</v>
      </c>
      <c r="J433" s="1" t="s">
        <v>15</v>
      </c>
      <c r="K433" s="1" t="s">
        <v>17</v>
      </c>
    </row>
    <row r="434" spans="1:11" x14ac:dyDescent="0.3">
      <c r="A434" s="3">
        <v>44630.659872685188</v>
      </c>
      <c r="B434">
        <v>-74.1629689583404</v>
      </c>
      <c r="C434">
        <v>26.9459526419264</v>
      </c>
      <c r="D434">
        <v>434.136574506572</v>
      </c>
      <c r="E434" s="1" t="s">
        <v>14</v>
      </c>
      <c r="F434">
        <v>8.2623909663905604</v>
      </c>
      <c r="G434">
        <v>0.36414361725872502</v>
      </c>
      <c r="H434">
        <v>9</v>
      </c>
      <c r="I434">
        <v>87</v>
      </c>
      <c r="J434" s="1" t="s">
        <v>15</v>
      </c>
      <c r="K434" s="1" t="s">
        <v>17</v>
      </c>
    </row>
    <row r="435" spans="1:11" x14ac:dyDescent="0.3">
      <c r="A435" s="3">
        <v>44631.761793981481</v>
      </c>
      <c r="B435">
        <v>-109.068474891471</v>
      </c>
      <c r="C435">
        <v>19.096178474484901</v>
      </c>
      <c r="D435">
        <v>1596.9750703631601</v>
      </c>
      <c r="E435" s="1" t="s">
        <v>11</v>
      </c>
      <c r="F435">
        <v>5.5637009604241898</v>
      </c>
      <c r="G435">
        <v>9.0776199855803892</v>
      </c>
      <c r="H435">
        <v>4</v>
      </c>
      <c r="I435">
        <v>93</v>
      </c>
      <c r="J435" s="1" t="s">
        <v>12</v>
      </c>
      <c r="K435" s="1" t="s">
        <v>13</v>
      </c>
    </row>
    <row r="436" spans="1:11" x14ac:dyDescent="0.3">
      <c r="A436" s="3">
        <v>44632.480636574073</v>
      </c>
      <c r="B436">
        <v>-105.829652642715</v>
      </c>
      <c r="C436">
        <v>19.120323535267499</v>
      </c>
      <c r="D436">
        <v>975.18430830524403</v>
      </c>
      <c r="E436" s="1" t="s">
        <v>11</v>
      </c>
      <c r="F436">
        <v>12.9323392408131</v>
      </c>
      <c r="G436">
        <v>0.78677281474378402</v>
      </c>
      <c r="H436">
        <v>6</v>
      </c>
      <c r="I436">
        <v>34</v>
      </c>
      <c r="J436" s="1" t="s">
        <v>12</v>
      </c>
      <c r="K436" s="1" t="s">
        <v>17</v>
      </c>
    </row>
    <row r="437" spans="1:11" x14ac:dyDescent="0.3">
      <c r="A437" s="3">
        <v>44633.770451388889</v>
      </c>
      <c r="B437">
        <v>-91.050348553197793</v>
      </c>
      <c r="C437">
        <v>16.294644339302899</v>
      </c>
      <c r="D437">
        <v>113.13300025219201</v>
      </c>
      <c r="E437" s="1" t="s">
        <v>18</v>
      </c>
      <c r="F437">
        <v>3.8620185817848198</v>
      </c>
      <c r="G437">
        <v>4.3052628283763701</v>
      </c>
      <c r="H437">
        <v>2</v>
      </c>
      <c r="I437">
        <v>21</v>
      </c>
      <c r="J437" s="1" t="s">
        <v>15</v>
      </c>
      <c r="K437" s="1" t="s">
        <v>13</v>
      </c>
    </row>
    <row r="438" spans="1:11" x14ac:dyDescent="0.3">
      <c r="A438" s="3">
        <v>44634.521458333336</v>
      </c>
      <c r="B438">
        <v>-95.468239547522202</v>
      </c>
      <c r="C438">
        <v>28.476528061184698</v>
      </c>
      <c r="D438">
        <v>66.527680828993496</v>
      </c>
      <c r="E438" s="1" t="s">
        <v>11</v>
      </c>
      <c r="F438">
        <v>9.4918939206272803</v>
      </c>
      <c r="G438">
        <v>7.5816007114919204</v>
      </c>
      <c r="H438">
        <v>8</v>
      </c>
      <c r="I438">
        <v>31</v>
      </c>
      <c r="J438" s="1" t="s">
        <v>12</v>
      </c>
      <c r="K438" s="1" t="s">
        <v>13</v>
      </c>
    </row>
    <row r="439" spans="1:11" x14ac:dyDescent="0.3">
      <c r="A439" s="3">
        <v>44635.660520833335</v>
      </c>
      <c r="B439">
        <v>-88.406402738341697</v>
      </c>
      <c r="C439">
        <v>10.4513260709651</v>
      </c>
      <c r="D439">
        <v>95.458195986090004</v>
      </c>
      <c r="E439" s="1" t="s">
        <v>14</v>
      </c>
      <c r="F439">
        <v>9.8608997061271406</v>
      </c>
      <c r="G439">
        <v>0.84745511990136901</v>
      </c>
      <c r="H439">
        <v>9</v>
      </c>
      <c r="I439">
        <v>30</v>
      </c>
      <c r="J439" s="1" t="s">
        <v>15</v>
      </c>
      <c r="K439" s="1" t="s">
        <v>13</v>
      </c>
    </row>
    <row r="440" spans="1:11" x14ac:dyDescent="0.3">
      <c r="A440" s="3">
        <v>44636.785451388889</v>
      </c>
      <c r="B440">
        <v>-76.483943479465196</v>
      </c>
      <c r="C440">
        <v>22.9369193316539</v>
      </c>
      <c r="D440">
        <v>213.493450530519</v>
      </c>
      <c r="E440" s="1" t="s">
        <v>18</v>
      </c>
      <c r="F440">
        <v>4.9040798515663004</v>
      </c>
      <c r="G440">
        <v>2.8427831138255799</v>
      </c>
      <c r="H440">
        <v>5</v>
      </c>
      <c r="I440">
        <v>82</v>
      </c>
      <c r="J440" s="1" t="s">
        <v>15</v>
      </c>
      <c r="K440" s="1" t="s">
        <v>13</v>
      </c>
    </row>
    <row r="441" spans="1:11" x14ac:dyDescent="0.3">
      <c r="A441" s="3">
        <v>44637.67454861111</v>
      </c>
      <c r="B441">
        <v>-81.023584017089107</v>
      </c>
      <c r="C441">
        <v>11.6758242002151</v>
      </c>
      <c r="D441">
        <v>1790.05236051921</v>
      </c>
      <c r="E441" s="1" t="s">
        <v>11</v>
      </c>
      <c r="F441">
        <v>6.8169009225070001</v>
      </c>
      <c r="G441">
        <v>0.88995270887056099</v>
      </c>
      <c r="H441">
        <v>1</v>
      </c>
      <c r="I441">
        <v>50</v>
      </c>
      <c r="J441" s="1" t="s">
        <v>15</v>
      </c>
      <c r="K441" s="1" t="s">
        <v>17</v>
      </c>
    </row>
    <row r="442" spans="1:11" x14ac:dyDescent="0.3">
      <c r="A442" s="3">
        <v>44638.618217592593</v>
      </c>
      <c r="B442">
        <v>-77.166971081231296</v>
      </c>
      <c r="C442">
        <v>16.121289927545298</v>
      </c>
      <c r="D442">
        <v>767.87784271646399</v>
      </c>
      <c r="E442" s="1" t="s">
        <v>11</v>
      </c>
      <c r="F442">
        <v>10.491068367607401</v>
      </c>
      <c r="G442">
        <v>1.87467568797131</v>
      </c>
      <c r="H442">
        <v>7</v>
      </c>
      <c r="I442">
        <v>66</v>
      </c>
      <c r="J442" s="1" t="s">
        <v>12</v>
      </c>
      <c r="K442" s="1" t="s">
        <v>17</v>
      </c>
    </row>
    <row r="443" spans="1:11" x14ac:dyDescent="0.3">
      <c r="A443" s="3">
        <v>44639.86</v>
      </c>
      <c r="B443">
        <v>-99.891156384762198</v>
      </c>
      <c r="C443">
        <v>26.940664794699</v>
      </c>
      <c r="D443">
        <v>165.87339420511699</v>
      </c>
      <c r="E443" s="1" t="s">
        <v>16</v>
      </c>
      <c r="F443">
        <v>4.1299998366590298</v>
      </c>
      <c r="G443">
        <v>8.4081613356122897</v>
      </c>
      <c r="H443">
        <v>6</v>
      </c>
      <c r="I443">
        <v>43</v>
      </c>
      <c r="J443" s="1" t="s">
        <v>15</v>
      </c>
      <c r="K443" s="1" t="s">
        <v>17</v>
      </c>
    </row>
    <row r="444" spans="1:11" x14ac:dyDescent="0.3">
      <c r="A444" s="3">
        <v>44640.931840277779</v>
      </c>
      <c r="B444">
        <v>-85.358272474022698</v>
      </c>
      <c r="C444">
        <v>24.736959042971598</v>
      </c>
      <c r="D444">
        <v>1099.30173973812</v>
      </c>
      <c r="E444" s="1" t="s">
        <v>16</v>
      </c>
      <c r="F444">
        <v>4.0339297538470396</v>
      </c>
      <c r="G444">
        <v>1.31725178031679</v>
      </c>
      <c r="H444">
        <v>7</v>
      </c>
      <c r="I444">
        <v>93</v>
      </c>
      <c r="J444" s="1" t="s">
        <v>15</v>
      </c>
      <c r="K444" s="1" t="s">
        <v>17</v>
      </c>
    </row>
    <row r="445" spans="1:11" x14ac:dyDescent="0.3">
      <c r="A445" s="3">
        <v>44641.914340277777</v>
      </c>
      <c r="B445">
        <v>-92.077684349135495</v>
      </c>
      <c r="C445">
        <v>17.852208809958299</v>
      </c>
      <c r="D445">
        <v>1339.0966755801401</v>
      </c>
      <c r="E445" s="1" t="s">
        <v>11</v>
      </c>
      <c r="F445">
        <v>12.465769323042601</v>
      </c>
      <c r="G445">
        <v>6.4652812037164402</v>
      </c>
      <c r="H445">
        <v>2</v>
      </c>
      <c r="I445">
        <v>80</v>
      </c>
      <c r="J445" s="1" t="s">
        <v>12</v>
      </c>
      <c r="K445" s="1" t="s">
        <v>13</v>
      </c>
    </row>
    <row r="446" spans="1:11" x14ac:dyDescent="0.3">
      <c r="A446" s="3">
        <v>44642.718819444446</v>
      </c>
      <c r="B446">
        <v>-69.234509897470105</v>
      </c>
      <c r="C446">
        <v>23.103197297904099</v>
      </c>
      <c r="D446">
        <v>1136.7696651246799</v>
      </c>
      <c r="E446" s="1" t="s">
        <v>14</v>
      </c>
      <c r="F446">
        <v>7.5691165687100197</v>
      </c>
      <c r="G446">
        <v>0.90979154526608996</v>
      </c>
      <c r="H446">
        <v>5</v>
      </c>
      <c r="I446">
        <v>63</v>
      </c>
      <c r="J446" s="1" t="s">
        <v>15</v>
      </c>
      <c r="K446" s="1" t="s">
        <v>17</v>
      </c>
    </row>
    <row r="447" spans="1:11" x14ac:dyDescent="0.3">
      <c r="A447" s="3">
        <v>44643.5315162037</v>
      </c>
      <c r="B447">
        <v>-92.911908342164395</v>
      </c>
      <c r="C447">
        <v>22.9035703686442</v>
      </c>
      <c r="D447">
        <v>408.69187162270498</v>
      </c>
      <c r="E447" s="1" t="s">
        <v>16</v>
      </c>
      <c r="F447">
        <v>4.7581471860346696</v>
      </c>
      <c r="G447">
        <v>7.3935293450611201</v>
      </c>
      <c r="H447">
        <v>3</v>
      </c>
      <c r="I447">
        <v>29</v>
      </c>
      <c r="J447" s="1" t="s">
        <v>12</v>
      </c>
      <c r="K447" s="1" t="s">
        <v>17</v>
      </c>
    </row>
    <row r="448" spans="1:11" x14ac:dyDescent="0.3">
      <c r="A448" s="3">
        <v>44644.704733796294</v>
      </c>
      <c r="B448">
        <v>-83.759783774541205</v>
      </c>
      <c r="C448">
        <v>28.3364441051264</v>
      </c>
      <c r="D448">
        <v>539.09816532043601</v>
      </c>
      <c r="E448" s="1" t="s">
        <v>11</v>
      </c>
      <c r="F448">
        <v>8.5110597822435103</v>
      </c>
      <c r="G448">
        <v>1.6061970915802599</v>
      </c>
      <c r="H448">
        <v>7</v>
      </c>
      <c r="I448">
        <v>63</v>
      </c>
      <c r="J448" s="1" t="s">
        <v>12</v>
      </c>
      <c r="K448" s="1" t="s">
        <v>13</v>
      </c>
    </row>
    <row r="449" spans="1:11" x14ac:dyDescent="0.3">
      <c r="A449" s="3">
        <v>44645.670543981483</v>
      </c>
      <c r="B449">
        <v>-108.648094225367</v>
      </c>
      <c r="C449">
        <v>28.382816490124799</v>
      </c>
      <c r="D449">
        <v>105.296553313822</v>
      </c>
      <c r="E449" s="1" t="s">
        <v>11</v>
      </c>
      <c r="F449">
        <v>11.577305066578701</v>
      </c>
      <c r="G449">
        <v>0.88746574542995105</v>
      </c>
      <c r="H449">
        <v>10</v>
      </c>
      <c r="I449">
        <v>19</v>
      </c>
      <c r="J449" s="1" t="s">
        <v>15</v>
      </c>
      <c r="K449" s="1" t="s">
        <v>13</v>
      </c>
    </row>
    <row r="450" spans="1:11" x14ac:dyDescent="0.3">
      <c r="A450" s="3">
        <v>44646.663252314815</v>
      </c>
      <c r="B450">
        <v>-77.807267553441207</v>
      </c>
      <c r="C450">
        <v>19.900446710278501</v>
      </c>
      <c r="D450">
        <v>687.73699584270798</v>
      </c>
      <c r="E450" s="1" t="s">
        <v>11</v>
      </c>
      <c r="F450">
        <v>5.54093664757439</v>
      </c>
      <c r="G450">
        <v>6.0799663800691999</v>
      </c>
      <c r="H450">
        <v>4</v>
      </c>
      <c r="I450">
        <v>88</v>
      </c>
      <c r="J450" s="1" t="s">
        <v>12</v>
      </c>
      <c r="K450" s="1" t="s">
        <v>17</v>
      </c>
    </row>
    <row r="451" spans="1:11" x14ac:dyDescent="0.3">
      <c r="A451" s="3">
        <v>44647.522141203706</v>
      </c>
      <c r="B451">
        <v>-58.162771346699799</v>
      </c>
      <c r="C451">
        <v>15.737979183464301</v>
      </c>
      <c r="D451">
        <v>1111.95601079425</v>
      </c>
      <c r="E451" s="1" t="s">
        <v>16</v>
      </c>
      <c r="F451">
        <v>4.9497039086055201</v>
      </c>
      <c r="G451">
        <v>5.39320242963504</v>
      </c>
      <c r="H451">
        <v>2</v>
      </c>
      <c r="I451">
        <v>30</v>
      </c>
      <c r="J451" s="1" t="s">
        <v>12</v>
      </c>
      <c r="K451" s="1" t="s">
        <v>17</v>
      </c>
    </row>
    <row r="452" spans="1:11" x14ac:dyDescent="0.3">
      <c r="A452" s="3">
        <v>44648.807870370372</v>
      </c>
      <c r="B452">
        <v>-97.1840367594817</v>
      </c>
      <c r="C452">
        <v>17.022416491517799</v>
      </c>
      <c r="D452">
        <v>1745.8727558990099</v>
      </c>
      <c r="E452" s="1" t="s">
        <v>11</v>
      </c>
      <c r="F452">
        <v>12.5950248550593</v>
      </c>
      <c r="G452">
        <v>5.0911488095881898</v>
      </c>
      <c r="H452">
        <v>8</v>
      </c>
      <c r="I452">
        <v>12</v>
      </c>
      <c r="J452" s="1" t="s">
        <v>15</v>
      </c>
      <c r="K452" s="1" t="s">
        <v>13</v>
      </c>
    </row>
    <row r="453" spans="1:11" x14ac:dyDescent="0.3">
      <c r="A453" s="3">
        <v>44649.907060185185</v>
      </c>
      <c r="B453">
        <v>-85.5413254654177</v>
      </c>
      <c r="C453">
        <v>18.813651470269502</v>
      </c>
      <c r="D453">
        <v>1433.18022547399</v>
      </c>
      <c r="E453" s="1" t="s">
        <v>18</v>
      </c>
      <c r="F453">
        <v>7.3254392503466299</v>
      </c>
      <c r="G453">
        <v>3.37420436006503</v>
      </c>
      <c r="H453">
        <v>1</v>
      </c>
      <c r="I453">
        <v>15</v>
      </c>
      <c r="J453" s="1" t="s">
        <v>15</v>
      </c>
      <c r="K453" s="1" t="s">
        <v>13</v>
      </c>
    </row>
    <row r="454" spans="1:11" x14ac:dyDescent="0.3">
      <c r="A454" s="3">
        <v>44650.414143518516</v>
      </c>
      <c r="B454">
        <v>-89.342668342964799</v>
      </c>
      <c r="C454">
        <v>25.178714385615301</v>
      </c>
      <c r="D454">
        <v>281.99468545942</v>
      </c>
      <c r="E454" s="1" t="s">
        <v>18</v>
      </c>
      <c r="F454">
        <v>4.7215158124585201</v>
      </c>
      <c r="G454">
        <v>6.8776146143285999</v>
      </c>
      <c r="H454">
        <v>4</v>
      </c>
      <c r="I454">
        <v>19</v>
      </c>
      <c r="J454" s="1" t="s">
        <v>15</v>
      </c>
      <c r="K454" s="1" t="s">
        <v>13</v>
      </c>
    </row>
    <row r="455" spans="1:11" x14ac:dyDescent="0.3">
      <c r="A455" s="3">
        <v>44651.616157407407</v>
      </c>
      <c r="B455">
        <v>-104.28754144428601</v>
      </c>
      <c r="C455">
        <v>11.0203372200834</v>
      </c>
      <c r="D455">
        <v>700.77609373033704</v>
      </c>
      <c r="E455" s="1" t="s">
        <v>16</v>
      </c>
      <c r="F455">
        <v>1.8506672622685401</v>
      </c>
      <c r="G455">
        <v>2.8903166929022799</v>
      </c>
      <c r="H455">
        <v>2</v>
      </c>
      <c r="I455">
        <v>66</v>
      </c>
      <c r="J455" s="1" t="s">
        <v>15</v>
      </c>
      <c r="K455" s="1" t="s">
        <v>17</v>
      </c>
    </row>
    <row r="456" spans="1:11" x14ac:dyDescent="0.3">
      <c r="A456" s="3">
        <v>44652.642916666664</v>
      </c>
      <c r="B456">
        <v>-79.763101474254299</v>
      </c>
      <c r="C456">
        <v>14.8931849294773</v>
      </c>
      <c r="D456">
        <v>141.674940677423</v>
      </c>
      <c r="E456" s="1" t="s">
        <v>14</v>
      </c>
      <c r="F456">
        <v>4.1901242411722697</v>
      </c>
      <c r="G456">
        <v>8.6979213100113402</v>
      </c>
      <c r="H456">
        <v>8</v>
      </c>
      <c r="I456">
        <v>85</v>
      </c>
      <c r="J456" s="1" t="s">
        <v>12</v>
      </c>
      <c r="K456" s="1" t="s">
        <v>13</v>
      </c>
    </row>
    <row r="457" spans="1:11" x14ac:dyDescent="0.3">
      <c r="A457" s="3">
        <v>44653.849907407406</v>
      </c>
      <c r="B457">
        <v>-94.199960106221596</v>
      </c>
      <c r="C457">
        <v>29.325923172334001</v>
      </c>
      <c r="D457">
        <v>1283.49097375931</v>
      </c>
      <c r="E457" s="1" t="s">
        <v>14</v>
      </c>
      <c r="F457">
        <v>0.32807715683903099</v>
      </c>
      <c r="G457">
        <v>7.5142460250628202</v>
      </c>
      <c r="H457">
        <v>8</v>
      </c>
      <c r="I457">
        <v>100</v>
      </c>
      <c r="J457" s="1" t="s">
        <v>15</v>
      </c>
      <c r="K457" s="1" t="s">
        <v>13</v>
      </c>
    </row>
    <row r="458" spans="1:11" x14ac:dyDescent="0.3">
      <c r="A458" s="3">
        <v>44654.810624999998</v>
      </c>
      <c r="B458">
        <v>-72.892654589237495</v>
      </c>
      <c r="C458">
        <v>13.170353401325</v>
      </c>
      <c r="D458">
        <v>1179.0443606879301</v>
      </c>
      <c r="E458" s="1" t="s">
        <v>14</v>
      </c>
      <c r="F458">
        <v>4.5082097063636297</v>
      </c>
      <c r="G458">
        <v>5.5581569306706404</v>
      </c>
      <c r="H458">
        <v>7</v>
      </c>
      <c r="I458">
        <v>30</v>
      </c>
      <c r="J458" s="1" t="s">
        <v>15</v>
      </c>
      <c r="K458" s="1" t="s">
        <v>13</v>
      </c>
    </row>
    <row r="459" spans="1:11" x14ac:dyDescent="0.3">
      <c r="A459" s="3">
        <v>44655.796423611115</v>
      </c>
      <c r="B459">
        <v>-66.972821812918497</v>
      </c>
      <c r="C459">
        <v>15.583088305756901</v>
      </c>
      <c r="D459">
        <v>906.14321131232805</v>
      </c>
      <c r="E459" s="1" t="s">
        <v>14</v>
      </c>
      <c r="F459">
        <v>2.1730469284188398</v>
      </c>
      <c r="G459">
        <v>2.6320663210598698</v>
      </c>
      <c r="H459">
        <v>6</v>
      </c>
      <c r="I459">
        <v>3</v>
      </c>
      <c r="J459" s="1" t="s">
        <v>12</v>
      </c>
      <c r="K459" s="1" t="s">
        <v>13</v>
      </c>
    </row>
    <row r="460" spans="1:11" x14ac:dyDescent="0.3">
      <c r="A460" s="3">
        <v>44656.427905092591</v>
      </c>
      <c r="B460">
        <v>-77.606139550736998</v>
      </c>
      <c r="C460">
        <v>26.519150266482601</v>
      </c>
      <c r="D460">
        <v>327.55118328389699</v>
      </c>
      <c r="E460" s="1" t="s">
        <v>18</v>
      </c>
      <c r="F460">
        <v>4.0059204811590003</v>
      </c>
      <c r="G460">
        <v>8.1017457454756503</v>
      </c>
      <c r="H460">
        <v>9</v>
      </c>
      <c r="I460">
        <v>27</v>
      </c>
      <c r="J460" s="1" t="s">
        <v>12</v>
      </c>
      <c r="K460" s="1" t="s">
        <v>17</v>
      </c>
    </row>
    <row r="461" spans="1:11" x14ac:dyDescent="0.3">
      <c r="A461" s="3">
        <v>44657.613807870373</v>
      </c>
      <c r="B461">
        <v>-110.54872786377599</v>
      </c>
      <c r="C461">
        <v>15.1476354779653</v>
      </c>
      <c r="D461">
        <v>1503.6364587232699</v>
      </c>
      <c r="E461" s="1" t="s">
        <v>16</v>
      </c>
      <c r="F461">
        <v>2.6521986985802601</v>
      </c>
      <c r="G461">
        <v>7.7193861020423702</v>
      </c>
      <c r="H461">
        <v>5</v>
      </c>
      <c r="I461">
        <v>31</v>
      </c>
      <c r="J461" s="1" t="s">
        <v>15</v>
      </c>
      <c r="K461" s="1" t="s">
        <v>17</v>
      </c>
    </row>
    <row r="462" spans="1:11" x14ac:dyDescent="0.3">
      <c r="A462" s="3">
        <v>44658.714456018519</v>
      </c>
      <c r="B462">
        <v>-108.254563233505</v>
      </c>
      <c r="C462">
        <v>20.451653978182101</v>
      </c>
      <c r="D462">
        <v>1761.5840608443</v>
      </c>
      <c r="E462" s="1" t="s">
        <v>16</v>
      </c>
      <c r="F462">
        <v>2.0714280484932899</v>
      </c>
      <c r="G462">
        <v>2.4924349009114</v>
      </c>
      <c r="H462">
        <v>10</v>
      </c>
      <c r="I462">
        <v>47</v>
      </c>
      <c r="J462" s="1" t="s">
        <v>12</v>
      </c>
      <c r="K462" s="1" t="s">
        <v>13</v>
      </c>
    </row>
    <row r="463" spans="1:11" x14ac:dyDescent="0.3">
      <c r="A463" s="3">
        <v>44659.66783564815</v>
      </c>
      <c r="B463">
        <v>-99.218386109390195</v>
      </c>
      <c r="C463">
        <v>12.2547342827317</v>
      </c>
      <c r="D463">
        <v>355.30155051296299</v>
      </c>
      <c r="E463" s="1" t="s">
        <v>16</v>
      </c>
      <c r="F463">
        <v>3.37845037543106</v>
      </c>
      <c r="G463">
        <v>9.2683622654028994</v>
      </c>
      <c r="H463">
        <v>3</v>
      </c>
      <c r="I463">
        <v>20</v>
      </c>
      <c r="J463" s="1" t="s">
        <v>15</v>
      </c>
      <c r="K463" s="1" t="s">
        <v>17</v>
      </c>
    </row>
    <row r="464" spans="1:11" x14ac:dyDescent="0.3">
      <c r="A464" s="3">
        <v>44660.949317129627</v>
      </c>
      <c r="B464">
        <v>-65.124402594713501</v>
      </c>
      <c r="C464">
        <v>25.202656103009598</v>
      </c>
      <c r="D464">
        <v>145.28036656481299</v>
      </c>
      <c r="E464" s="1" t="s">
        <v>16</v>
      </c>
      <c r="F464">
        <v>4.7302003175630203</v>
      </c>
      <c r="G464">
        <v>7.5445202985439899</v>
      </c>
      <c r="H464">
        <v>9</v>
      </c>
      <c r="I464">
        <v>91</v>
      </c>
      <c r="J464" s="1" t="s">
        <v>15</v>
      </c>
      <c r="K464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95FE-DB1C-4E9D-8A82-63412826D000}">
  <dimension ref="A1:AL464"/>
  <sheetViews>
    <sheetView topLeftCell="O29" zoomScale="67" zoomScaleNormal="70" workbookViewId="0">
      <selection activeCell="V58" sqref="V58"/>
    </sheetView>
  </sheetViews>
  <sheetFormatPr defaultRowHeight="14.4" x14ac:dyDescent="0.3"/>
  <cols>
    <col min="1" max="1" width="18" style="1" bestFit="1" customWidth="1"/>
    <col min="2" max="2" width="18.109375" bestFit="1" customWidth="1"/>
    <col min="3" max="3" width="12" bestFit="1" customWidth="1"/>
    <col min="4" max="4" width="13.77734375" bestFit="1" customWidth="1"/>
    <col min="5" max="5" width="11" style="1" bestFit="1" customWidth="1"/>
    <col min="6" max="6" width="12" bestFit="1" customWidth="1"/>
    <col min="7" max="7" width="19.33203125" bestFit="1" customWidth="1"/>
    <col min="8" max="8" width="7.88671875" bestFit="1" customWidth="1"/>
    <col min="9" max="9" width="6.77734375" bestFit="1" customWidth="1"/>
    <col min="10" max="10" width="8.109375" style="1" bestFit="1" customWidth="1"/>
    <col min="11" max="11" width="16.21875" style="1" bestFit="1" customWidth="1"/>
    <col min="12" max="12" width="12.77734375" bestFit="1" customWidth="1"/>
    <col min="13" max="13" width="11.109375" style="1" bestFit="1" customWidth="1"/>
    <col min="15" max="15" width="12.44140625" bestFit="1" customWidth="1"/>
    <col min="16" max="16" width="23.44140625" bestFit="1" customWidth="1"/>
    <col min="18" max="18" width="12.5546875" bestFit="1" customWidth="1"/>
    <col min="19" max="19" width="21.109375" bestFit="1" customWidth="1"/>
    <col min="20" max="20" width="12.44140625" bestFit="1" customWidth="1"/>
    <col min="21" max="21" width="18.88671875" bestFit="1" customWidth="1"/>
    <col min="22" max="22" width="40.6640625" bestFit="1" customWidth="1"/>
    <col min="23" max="23" width="9.109375" customWidth="1"/>
    <col min="24" max="24" width="12.44140625" bestFit="1" customWidth="1"/>
    <col min="25" max="25" width="28.21875" bestFit="1" customWidth="1"/>
    <col min="26" max="26" width="10.6640625" customWidth="1"/>
    <col min="27" max="27" width="18.88671875" bestFit="1" customWidth="1"/>
    <col min="28" max="28" width="28.6640625" bestFit="1" customWidth="1"/>
    <col min="30" max="30" width="12.44140625" bestFit="1" customWidth="1"/>
    <col min="31" max="31" width="21.44140625" bestFit="1" customWidth="1"/>
    <col min="33" max="33" width="15.88671875" bestFit="1" customWidth="1"/>
    <col min="34" max="34" width="16.44140625" bestFit="1" customWidth="1"/>
    <col min="35" max="35" width="4.33203125" bestFit="1" customWidth="1"/>
    <col min="36" max="36" width="5.44140625" bestFit="1" customWidth="1"/>
    <col min="37" max="37" width="4.88671875" bestFit="1" customWidth="1"/>
    <col min="38" max="39" width="10.664062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</v>
      </c>
      <c r="M1" s="1" t="s">
        <v>21</v>
      </c>
      <c r="O1" s="4" t="s">
        <v>4</v>
      </c>
      <c r="P1" t="s">
        <v>16</v>
      </c>
      <c r="R1" s="4" t="s">
        <v>4</v>
      </c>
      <c r="S1" t="s">
        <v>11</v>
      </c>
      <c r="U1" s="4" t="s">
        <v>4</v>
      </c>
      <c r="V1" t="s">
        <v>16</v>
      </c>
    </row>
    <row r="2" spans="1:38" x14ac:dyDescent="0.3">
      <c r="A2" s="3">
        <v>44564.740428240744</v>
      </c>
      <c r="B2">
        <v>-84.119763102008093</v>
      </c>
      <c r="C2">
        <v>25.940081825379099</v>
      </c>
      <c r="D2">
        <v>1713.8005496373601</v>
      </c>
      <c r="E2" s="1" t="s">
        <v>11</v>
      </c>
      <c r="F2">
        <v>14.6904376315739</v>
      </c>
      <c r="G2">
        <v>2.2431763646784799</v>
      </c>
      <c r="H2">
        <v>5</v>
      </c>
      <c r="I2">
        <v>25</v>
      </c>
      <c r="J2" s="1" t="s">
        <v>12</v>
      </c>
      <c r="K2" s="1" t="s">
        <v>13</v>
      </c>
      <c r="L2" t="str" cm="1">
        <f t="array" ref="L2">_xlfn.IFS(B2&gt;-80,"Excellent",B2&gt;-95,"Good",B2&gt;-110,"Fair",  TRUE,"Poor")</f>
        <v>Good</v>
      </c>
      <c r="M2" s="1" t="str">
        <f>IF(F2&gt;10,"High Loss","Normal")</f>
        <v>High Loss</v>
      </c>
    </row>
    <row r="3" spans="1:38" x14ac:dyDescent="0.3">
      <c r="A3" s="3">
        <v>44565.728831018518</v>
      </c>
      <c r="B3">
        <v>-87.806130827691305</v>
      </c>
      <c r="C3">
        <v>15.937353981909499</v>
      </c>
      <c r="D3">
        <v>345.37184827531598</v>
      </c>
      <c r="E3" s="1" t="s">
        <v>14</v>
      </c>
      <c r="F3">
        <v>6.2136981139148801</v>
      </c>
      <c r="G3">
        <v>5.0025664998508299</v>
      </c>
      <c r="H3">
        <v>3</v>
      </c>
      <c r="I3">
        <v>22</v>
      </c>
      <c r="J3" s="1" t="s">
        <v>15</v>
      </c>
      <c r="K3" s="1" t="s">
        <v>13</v>
      </c>
      <c r="L3" t="str" cm="1">
        <f t="array" ref="L3">_xlfn.IFS(B3&gt;-80,"Excellent",B3&gt;-95,"Good",B3&gt;-110,"Fair",  TRUE,"Poor")</f>
        <v>Good</v>
      </c>
      <c r="M3" s="1" t="str">
        <f t="shared" ref="M3:M66" si="0">IF(F3&gt;10,"High Loss","Normal")</f>
        <v>Normal</v>
      </c>
      <c r="O3" s="4" t="s">
        <v>22</v>
      </c>
      <c r="P3" t="s">
        <v>31</v>
      </c>
      <c r="R3" s="4" t="s">
        <v>22</v>
      </c>
      <c r="S3" t="s">
        <v>30</v>
      </c>
      <c r="U3" s="4" t="s">
        <v>22</v>
      </c>
      <c r="V3" t="s">
        <v>28</v>
      </c>
      <c r="X3" s="4" t="s">
        <v>22</v>
      </c>
      <c r="Y3" t="s">
        <v>28</v>
      </c>
      <c r="AA3" s="4" t="s">
        <v>22</v>
      </c>
      <c r="AB3" t="s">
        <v>29</v>
      </c>
      <c r="AD3" s="4" t="s">
        <v>22</v>
      </c>
      <c r="AE3" t="s">
        <v>32</v>
      </c>
      <c r="AG3" s="4" t="s">
        <v>33</v>
      </c>
      <c r="AH3" s="4" t="s">
        <v>34</v>
      </c>
    </row>
    <row r="4" spans="1:38" x14ac:dyDescent="0.3">
      <c r="A4" s="3">
        <v>44566.71806712963</v>
      </c>
      <c r="B4">
        <v>-116.575175596495</v>
      </c>
      <c r="C4">
        <v>14.7093842796525</v>
      </c>
      <c r="D4">
        <v>259.28504348173999</v>
      </c>
      <c r="E4" s="1" t="s">
        <v>16</v>
      </c>
      <c r="F4">
        <v>4.4944149655434602</v>
      </c>
      <c r="G4">
        <v>8.7059735322043306</v>
      </c>
      <c r="H4">
        <v>2</v>
      </c>
      <c r="I4">
        <v>5</v>
      </c>
      <c r="J4" s="1" t="s">
        <v>15</v>
      </c>
      <c r="K4" s="1" t="s">
        <v>13</v>
      </c>
      <c r="L4" t="str" cm="1">
        <f t="array" ref="L4">_xlfn.IFS(B4&gt;-80,"Excellent",B4&gt;-95,"Good",B4&gt;-110,"Fair",  TRUE,"Poor")</f>
        <v>Poor</v>
      </c>
      <c r="M4" s="1" t="str">
        <f t="shared" si="0"/>
        <v>Normal</v>
      </c>
      <c r="O4" s="2" t="s">
        <v>23</v>
      </c>
      <c r="P4">
        <v>907.78346452910318</v>
      </c>
      <c r="R4" s="2">
        <v>1</v>
      </c>
      <c r="S4">
        <v>6994.1853443996679</v>
      </c>
      <c r="U4" s="2">
        <v>1</v>
      </c>
      <c r="V4">
        <v>-88.61932678178654</v>
      </c>
      <c r="X4" s="2" t="s">
        <v>14</v>
      </c>
      <c r="Y4">
        <v>-79.520206825169367</v>
      </c>
      <c r="AA4" s="2" t="s">
        <v>14</v>
      </c>
      <c r="AB4">
        <v>5.198299948346083</v>
      </c>
      <c r="AD4" s="2" t="s">
        <v>23</v>
      </c>
      <c r="AE4">
        <v>184</v>
      </c>
      <c r="AG4" s="4" t="s">
        <v>22</v>
      </c>
      <c r="AH4" t="s">
        <v>23</v>
      </c>
      <c r="AI4" t="s">
        <v>24</v>
      </c>
      <c r="AJ4" t="s">
        <v>25</v>
      </c>
      <c r="AK4" t="s">
        <v>26</v>
      </c>
      <c r="AL4" t="s">
        <v>27</v>
      </c>
    </row>
    <row r="5" spans="1:38" x14ac:dyDescent="0.3">
      <c r="A5" s="3">
        <v>44567.668391203704</v>
      </c>
      <c r="B5">
        <v>-82.961182903388007</v>
      </c>
      <c r="C5">
        <v>21.727165092903</v>
      </c>
      <c r="D5">
        <v>357.97400442584899</v>
      </c>
      <c r="E5" s="1" t="s">
        <v>14</v>
      </c>
      <c r="F5">
        <v>7.61995747300384</v>
      </c>
      <c r="G5">
        <v>7.4270245501411702</v>
      </c>
      <c r="H5">
        <v>5</v>
      </c>
      <c r="I5">
        <v>33</v>
      </c>
      <c r="J5" s="1" t="s">
        <v>12</v>
      </c>
      <c r="K5" s="1" t="s">
        <v>17</v>
      </c>
      <c r="L5" t="str" cm="1">
        <f t="array" ref="L5">_xlfn.IFS(B5&gt;-80,"Excellent",B5&gt;-95,"Good",B5&gt;-110,"Fair",  TRUE,"Poor")</f>
        <v>Good</v>
      </c>
      <c r="M5" s="1" t="str">
        <f t="shared" si="0"/>
        <v>Normal</v>
      </c>
      <c r="O5" s="2" t="s">
        <v>24</v>
      </c>
      <c r="P5">
        <v>804.90083022672582</v>
      </c>
      <c r="R5" s="2">
        <v>2</v>
      </c>
      <c r="S5">
        <v>14926.515625567043</v>
      </c>
      <c r="U5" s="2">
        <v>2</v>
      </c>
      <c r="V5">
        <v>-84.025606113980373</v>
      </c>
      <c r="X5" s="2" t="s">
        <v>16</v>
      </c>
      <c r="Y5">
        <v>-84.034711907502015</v>
      </c>
      <c r="AA5" s="2" t="s">
        <v>16</v>
      </c>
      <c r="AB5">
        <v>2.5475608453023235</v>
      </c>
      <c r="AD5" s="2" t="s">
        <v>24</v>
      </c>
      <c r="AE5">
        <v>113</v>
      </c>
      <c r="AG5" s="2">
        <v>1</v>
      </c>
      <c r="AH5">
        <v>19</v>
      </c>
      <c r="AI5">
        <v>10</v>
      </c>
      <c r="AJ5">
        <v>11</v>
      </c>
      <c r="AK5">
        <v>3</v>
      </c>
      <c r="AL5">
        <v>43</v>
      </c>
    </row>
    <row r="6" spans="1:38" x14ac:dyDescent="0.3">
      <c r="A6" s="3">
        <v>44568.93005787037</v>
      </c>
      <c r="B6">
        <v>-85.012574109426197</v>
      </c>
      <c r="C6">
        <v>26.058158432953601</v>
      </c>
      <c r="D6">
        <v>398.00671584668697</v>
      </c>
      <c r="E6" s="1" t="s">
        <v>11</v>
      </c>
      <c r="F6">
        <v>10.6551588270581</v>
      </c>
      <c r="G6">
        <v>0.61207051140331303</v>
      </c>
      <c r="H6">
        <v>5</v>
      </c>
      <c r="I6">
        <v>8</v>
      </c>
      <c r="J6" s="1" t="s">
        <v>15</v>
      </c>
      <c r="K6" s="1" t="s">
        <v>17</v>
      </c>
      <c r="L6" t="str" cm="1">
        <f t="array" ref="L6">_xlfn.IFS(B6&gt;-80,"Excellent",B6&gt;-95,"Good",B6&gt;-110,"Fair",  TRUE,"Poor")</f>
        <v>Good</v>
      </c>
      <c r="M6" s="1" t="str">
        <f t="shared" si="0"/>
        <v>High Loss</v>
      </c>
      <c r="O6" s="2" t="s">
        <v>25</v>
      </c>
      <c r="P6">
        <v>802.15690460242968</v>
      </c>
      <c r="R6" s="2">
        <v>3</v>
      </c>
      <c r="S6">
        <v>7051.3742564071326</v>
      </c>
      <c r="U6" s="2">
        <v>3</v>
      </c>
      <c r="V6">
        <v>-80.121046812125812</v>
      </c>
      <c r="X6" s="2" t="s">
        <v>18</v>
      </c>
      <c r="Y6">
        <v>-85.803725525956949</v>
      </c>
      <c r="AA6" s="2" t="s">
        <v>18</v>
      </c>
      <c r="AB6">
        <v>4.8851696874446784</v>
      </c>
      <c r="AD6" s="2" t="s">
        <v>25</v>
      </c>
      <c r="AE6">
        <v>151</v>
      </c>
      <c r="AG6" s="2">
        <v>2</v>
      </c>
      <c r="AH6">
        <v>15</v>
      </c>
      <c r="AI6">
        <v>14</v>
      </c>
      <c r="AJ6">
        <v>23</v>
      </c>
      <c r="AK6">
        <v>1</v>
      </c>
      <c r="AL6">
        <v>53</v>
      </c>
    </row>
    <row r="7" spans="1:38" x14ac:dyDescent="0.3">
      <c r="A7" s="3">
        <v>44569.938680555555</v>
      </c>
      <c r="B7">
        <v>-98.618691644283501</v>
      </c>
      <c r="C7">
        <v>20.606737743653699</v>
      </c>
      <c r="D7">
        <v>1795.1751372477599</v>
      </c>
      <c r="E7" s="1" t="s">
        <v>11</v>
      </c>
      <c r="F7">
        <v>5.6222017802995596</v>
      </c>
      <c r="G7">
        <v>4.70256110231443</v>
      </c>
      <c r="H7">
        <v>6</v>
      </c>
      <c r="I7">
        <v>42</v>
      </c>
      <c r="J7" s="1" t="s">
        <v>12</v>
      </c>
      <c r="K7" s="1" t="s">
        <v>17</v>
      </c>
      <c r="L7" t="str" cm="1">
        <f t="array" ref="L7">_xlfn.IFS(B7&gt;-80,"Excellent",B7&gt;-95,"Good",B7&gt;-110,"Fair",  TRUE,"Poor")</f>
        <v>Fair</v>
      </c>
      <c r="M7" s="1" t="str">
        <f t="shared" si="0"/>
        <v>Normal</v>
      </c>
      <c r="O7" s="2" t="s">
        <v>26</v>
      </c>
      <c r="P7">
        <v>941.51327468113425</v>
      </c>
      <c r="R7" s="2">
        <v>4</v>
      </c>
      <c r="S7">
        <v>7928.9566800316998</v>
      </c>
      <c r="U7" s="2">
        <v>4</v>
      </c>
      <c r="V7">
        <v>-94.430105179316101</v>
      </c>
      <c r="X7" s="2" t="s">
        <v>11</v>
      </c>
      <c r="Y7">
        <v>-90.603063135926959</v>
      </c>
      <c r="AA7" s="2" t="s">
        <v>11</v>
      </c>
      <c r="AB7">
        <v>9.7507855896413034</v>
      </c>
      <c r="AD7" s="2" t="s">
        <v>26</v>
      </c>
      <c r="AE7">
        <v>15</v>
      </c>
      <c r="AG7" s="2">
        <v>3</v>
      </c>
      <c r="AH7">
        <v>15</v>
      </c>
      <c r="AI7">
        <v>6</v>
      </c>
      <c r="AJ7">
        <v>16</v>
      </c>
      <c r="AK7">
        <v>1</v>
      </c>
      <c r="AL7">
        <v>38</v>
      </c>
    </row>
    <row r="8" spans="1:38" x14ac:dyDescent="0.3">
      <c r="A8" s="3">
        <v>44570.860891203702</v>
      </c>
      <c r="B8">
        <v>-74.139398619688706</v>
      </c>
      <c r="C8">
        <v>15.533143797284399</v>
      </c>
      <c r="D8">
        <v>230.32024737271101</v>
      </c>
      <c r="E8" s="1" t="s">
        <v>18</v>
      </c>
      <c r="F8">
        <v>7.6362303505615499</v>
      </c>
      <c r="G8">
        <v>1.66729321639479</v>
      </c>
      <c r="H8">
        <v>1</v>
      </c>
      <c r="I8">
        <v>74</v>
      </c>
      <c r="J8" s="1" t="s">
        <v>15</v>
      </c>
      <c r="K8" s="1" t="s">
        <v>17</v>
      </c>
      <c r="L8" t="str" cm="1">
        <f t="array" ref="L8">_xlfn.IFS(B8&gt;-80,"Excellent",B8&gt;-95,"Good",B8&gt;-110,"Fair",  TRUE,"Poor")</f>
        <v>Excellent</v>
      </c>
      <c r="M8" s="1" t="str">
        <f t="shared" si="0"/>
        <v>Normal</v>
      </c>
      <c r="O8" s="2" t="s">
        <v>27</v>
      </c>
      <c r="P8">
        <v>867.40796179797667</v>
      </c>
      <c r="R8" s="2">
        <v>5</v>
      </c>
      <c r="S8">
        <v>9453.2145434198355</v>
      </c>
      <c r="U8" s="2">
        <v>5</v>
      </c>
      <c r="V8">
        <v>-90.247850363236466</v>
      </c>
      <c r="X8" s="2" t="s">
        <v>27</v>
      </c>
      <c r="Y8">
        <v>-84.957137232185929</v>
      </c>
      <c r="AA8" s="2" t="s">
        <v>27</v>
      </c>
      <c r="AB8">
        <v>5.4596045182874207</v>
      </c>
      <c r="AD8" s="2" t="s">
        <v>27</v>
      </c>
      <c r="AE8">
        <v>463</v>
      </c>
      <c r="AG8" s="2">
        <v>4</v>
      </c>
      <c r="AH8">
        <v>12</v>
      </c>
      <c r="AI8">
        <v>15</v>
      </c>
      <c r="AJ8">
        <v>12</v>
      </c>
      <c r="AK8">
        <v>2</v>
      </c>
      <c r="AL8">
        <v>41</v>
      </c>
    </row>
    <row r="9" spans="1:38" x14ac:dyDescent="0.3">
      <c r="A9" s="3">
        <v>44571.919050925928</v>
      </c>
      <c r="B9">
        <v>-50.235330964038397</v>
      </c>
      <c r="C9">
        <v>23.898982806262701</v>
      </c>
      <c r="D9">
        <v>462.11256841159502</v>
      </c>
      <c r="E9" s="1" t="s">
        <v>16</v>
      </c>
      <c r="F9">
        <v>0.44102867514516902</v>
      </c>
      <c r="G9">
        <v>1.1657788478490201</v>
      </c>
      <c r="H9">
        <v>7</v>
      </c>
      <c r="I9">
        <v>16</v>
      </c>
      <c r="J9" s="1" t="s">
        <v>12</v>
      </c>
      <c r="K9" s="1" t="s">
        <v>13</v>
      </c>
      <c r="L9" t="str" cm="1">
        <f t="array" ref="L9">_xlfn.IFS(B9&gt;-80,"Excellent",B9&gt;-95,"Good",B9&gt;-110,"Fair",  TRUE,"Poor")</f>
        <v>Excellent</v>
      </c>
      <c r="M9" s="1" t="str">
        <f t="shared" si="0"/>
        <v>Normal</v>
      </c>
      <c r="R9" s="2">
        <v>6</v>
      </c>
      <c r="S9">
        <v>19223.853335246702</v>
      </c>
      <c r="U9" s="2">
        <v>6</v>
      </c>
      <c r="V9">
        <v>-83.027497963136284</v>
      </c>
      <c r="AG9" s="2">
        <v>5</v>
      </c>
      <c r="AH9">
        <v>21</v>
      </c>
      <c r="AI9">
        <v>9</v>
      </c>
      <c r="AJ9">
        <v>19</v>
      </c>
      <c r="AK9">
        <v>3</v>
      </c>
      <c r="AL9">
        <v>52</v>
      </c>
    </row>
    <row r="10" spans="1:38" x14ac:dyDescent="0.3">
      <c r="A10" s="3">
        <v>44572.427511574075</v>
      </c>
      <c r="B10">
        <v>-70.1030733993355</v>
      </c>
      <c r="C10">
        <v>20.070369820516799</v>
      </c>
      <c r="D10">
        <v>1697.4233652739799</v>
      </c>
      <c r="E10" s="1" t="s">
        <v>18</v>
      </c>
      <c r="F10">
        <v>5.29849838342348</v>
      </c>
      <c r="G10">
        <v>7.6781262448115903</v>
      </c>
      <c r="H10">
        <v>8</v>
      </c>
      <c r="I10">
        <v>7</v>
      </c>
      <c r="J10" s="1" t="s">
        <v>15</v>
      </c>
      <c r="K10" s="1" t="s">
        <v>17</v>
      </c>
      <c r="L10" t="str" cm="1">
        <f t="array" ref="L10">_xlfn.IFS(B10&gt;-80,"Excellent",B10&gt;-95,"Good",B10&gt;-110,"Fair",  TRUE,"Poor")</f>
        <v>Excellent</v>
      </c>
      <c r="M10" s="1" t="str">
        <f t="shared" si="0"/>
        <v>Normal</v>
      </c>
      <c r="R10" s="2">
        <v>7</v>
      </c>
      <c r="S10">
        <v>13205.257928473795</v>
      </c>
      <c r="U10" s="2">
        <v>7</v>
      </c>
      <c r="V10">
        <v>-80.75349381537265</v>
      </c>
      <c r="AG10" s="2">
        <v>6</v>
      </c>
      <c r="AH10">
        <v>21</v>
      </c>
      <c r="AI10">
        <v>10</v>
      </c>
      <c r="AJ10">
        <v>14</v>
      </c>
      <c r="AK10">
        <v>1</v>
      </c>
      <c r="AL10">
        <v>46</v>
      </c>
    </row>
    <row r="11" spans="1:38" x14ac:dyDescent="0.3">
      <c r="A11" s="3">
        <v>44573.563530092593</v>
      </c>
      <c r="B11">
        <v>-97.600563685678793</v>
      </c>
      <c r="C11">
        <v>23.437814260372299</v>
      </c>
      <c r="D11">
        <v>1311.06652638329</v>
      </c>
      <c r="E11" s="1" t="s">
        <v>14</v>
      </c>
      <c r="F11">
        <v>1.2358944054824199</v>
      </c>
      <c r="G11">
        <v>4.9720487953707604</v>
      </c>
      <c r="H11">
        <v>8</v>
      </c>
      <c r="I11">
        <v>74</v>
      </c>
      <c r="J11" s="1" t="s">
        <v>12</v>
      </c>
      <c r="K11" s="1" t="s">
        <v>13</v>
      </c>
      <c r="L11" t="str" cm="1">
        <f t="array" ref="L11">_xlfn.IFS(B11&gt;-80,"Excellent",B11&gt;-95,"Good",B11&gt;-110,"Fair",  TRUE,"Poor")</f>
        <v>Fair</v>
      </c>
      <c r="M11" s="1" t="str">
        <f t="shared" si="0"/>
        <v>Normal</v>
      </c>
      <c r="R11" s="2">
        <v>8</v>
      </c>
      <c r="S11">
        <v>13211.992676563284</v>
      </c>
      <c r="U11" s="2">
        <v>8</v>
      </c>
      <c r="V11">
        <v>-79.515145284889883</v>
      </c>
      <c r="AG11" s="2">
        <v>7</v>
      </c>
      <c r="AH11">
        <v>24</v>
      </c>
      <c r="AI11">
        <v>12</v>
      </c>
      <c r="AJ11">
        <v>16</v>
      </c>
      <c r="AK11">
        <v>1</v>
      </c>
      <c r="AL11">
        <v>53</v>
      </c>
    </row>
    <row r="12" spans="1:38" x14ac:dyDescent="0.3">
      <c r="A12" s="3">
        <v>44574.63894675926</v>
      </c>
      <c r="B12">
        <v>-99.651735788351999</v>
      </c>
      <c r="C12">
        <v>14.2440707065702</v>
      </c>
      <c r="D12">
        <v>857.84596297745395</v>
      </c>
      <c r="E12" s="1" t="s">
        <v>16</v>
      </c>
      <c r="F12">
        <v>0.757706452627534</v>
      </c>
      <c r="G12">
        <v>9.15753085130582</v>
      </c>
      <c r="H12">
        <v>9</v>
      </c>
      <c r="I12">
        <v>62</v>
      </c>
      <c r="J12" s="1" t="s">
        <v>15</v>
      </c>
      <c r="K12" s="1" t="s">
        <v>13</v>
      </c>
      <c r="L12" t="str" cm="1">
        <f t="array" ref="L12">_xlfn.IFS(B12&gt;-80,"Excellent",B12&gt;-95,"Good",B12&gt;-110,"Fair",  TRUE,"Poor")</f>
        <v>Fair</v>
      </c>
      <c r="M12" s="1" t="str">
        <f t="shared" si="0"/>
        <v>Normal</v>
      </c>
      <c r="R12" s="2">
        <v>9</v>
      </c>
      <c r="S12">
        <v>8218.7002307479324</v>
      </c>
      <c r="U12" s="2">
        <v>9</v>
      </c>
      <c r="V12">
        <v>-79.477288057775596</v>
      </c>
      <c r="AG12" s="2">
        <v>8</v>
      </c>
      <c r="AH12">
        <v>20</v>
      </c>
      <c r="AI12">
        <v>8</v>
      </c>
      <c r="AJ12">
        <v>20</v>
      </c>
      <c r="AL12">
        <v>48</v>
      </c>
    </row>
    <row r="13" spans="1:38" x14ac:dyDescent="0.3">
      <c r="A13" s="3">
        <v>44575.798831018517</v>
      </c>
      <c r="B13">
        <v>-78.585962191361304</v>
      </c>
      <c r="C13">
        <v>17.391786266451199</v>
      </c>
      <c r="D13">
        <v>683.85262101636499</v>
      </c>
      <c r="E13" s="1" t="s">
        <v>18</v>
      </c>
      <c r="F13">
        <v>5.5869201121765499</v>
      </c>
      <c r="G13">
        <v>7.8695926282484097</v>
      </c>
      <c r="H13">
        <v>3</v>
      </c>
      <c r="I13">
        <v>54</v>
      </c>
      <c r="J13" s="1" t="s">
        <v>15</v>
      </c>
      <c r="K13" s="1" t="s">
        <v>13</v>
      </c>
      <c r="L13" t="str" cm="1">
        <f t="array" ref="L13">_xlfn.IFS(B13&gt;-80,"Excellent",B13&gt;-95,"Good",B13&gt;-110,"Fair",  TRUE,"Poor")</f>
        <v>Excellent</v>
      </c>
      <c r="M13" s="1" t="str">
        <f t="shared" si="0"/>
        <v>Normal</v>
      </c>
      <c r="R13" s="2">
        <v>10</v>
      </c>
      <c r="S13">
        <v>3410.1285665153246</v>
      </c>
      <c r="U13" s="2">
        <v>10</v>
      </c>
      <c r="V13">
        <v>-82.034403847715552</v>
      </c>
      <c r="AG13" s="2">
        <v>9</v>
      </c>
      <c r="AH13">
        <v>21</v>
      </c>
      <c r="AI13">
        <v>13</v>
      </c>
      <c r="AJ13">
        <v>11</v>
      </c>
      <c r="AK13">
        <v>2</v>
      </c>
      <c r="AL13">
        <v>47</v>
      </c>
    </row>
    <row r="14" spans="1:38" x14ac:dyDescent="0.3">
      <c r="A14" s="3">
        <v>44576.386493055557</v>
      </c>
      <c r="B14">
        <v>-105.474205403532</v>
      </c>
      <c r="C14">
        <v>24.770495713434698</v>
      </c>
      <c r="D14">
        <v>1767.79812495087</v>
      </c>
      <c r="E14" s="1" t="s">
        <v>11</v>
      </c>
      <c r="F14">
        <v>7.5153459263088704</v>
      </c>
      <c r="G14">
        <v>5.6941897976390603</v>
      </c>
      <c r="H14">
        <v>8</v>
      </c>
      <c r="I14">
        <v>29</v>
      </c>
      <c r="J14" s="1" t="s">
        <v>15</v>
      </c>
      <c r="K14" s="1" t="s">
        <v>13</v>
      </c>
      <c r="L14" t="str" cm="1">
        <f t="array" ref="L14">_xlfn.IFS(B14&gt;-80,"Excellent",B14&gt;-95,"Good",B14&gt;-110,"Fair",  TRUE,"Poor")</f>
        <v>Fair</v>
      </c>
      <c r="M14" s="1" t="str">
        <f t="shared" si="0"/>
        <v>Normal</v>
      </c>
      <c r="R14" s="2" t="s">
        <v>27</v>
      </c>
      <c r="S14">
        <v>103624.17918737241</v>
      </c>
      <c r="U14" s="2" t="s">
        <v>27</v>
      </c>
      <c r="V14">
        <v>-84.034711907502015</v>
      </c>
      <c r="AG14" s="2">
        <v>10</v>
      </c>
      <c r="AH14">
        <v>16</v>
      </c>
      <c r="AI14">
        <v>16</v>
      </c>
      <c r="AJ14">
        <v>9</v>
      </c>
      <c r="AK14">
        <v>1</v>
      </c>
      <c r="AL14">
        <v>42</v>
      </c>
    </row>
    <row r="15" spans="1:38" x14ac:dyDescent="0.3">
      <c r="A15" s="3">
        <v>44577.986342592594</v>
      </c>
      <c r="B15">
        <v>-77.203486680888702</v>
      </c>
      <c r="C15">
        <v>23.3178640442447</v>
      </c>
      <c r="D15">
        <v>1623.7836866160301</v>
      </c>
      <c r="E15" s="1" t="s">
        <v>11</v>
      </c>
      <c r="F15">
        <v>5.9432384436761998</v>
      </c>
      <c r="G15">
        <v>7.3286556567920504</v>
      </c>
      <c r="H15">
        <v>8</v>
      </c>
      <c r="I15">
        <v>87</v>
      </c>
      <c r="J15" s="1" t="s">
        <v>12</v>
      </c>
      <c r="K15" s="1" t="s">
        <v>13</v>
      </c>
      <c r="L15" t="str" cm="1">
        <f t="array" ref="L15">_xlfn.IFS(B15&gt;-80,"Excellent",B15&gt;-95,"Good",B15&gt;-110,"Fair",  TRUE,"Poor")</f>
        <v>Excellent</v>
      </c>
      <c r="M15" s="1" t="str">
        <f t="shared" si="0"/>
        <v>Normal</v>
      </c>
      <c r="AG15" s="2" t="s">
        <v>27</v>
      </c>
      <c r="AH15">
        <v>184</v>
      </c>
      <c r="AI15">
        <v>113</v>
      </c>
      <c r="AJ15">
        <v>151</v>
      </c>
      <c r="AK15">
        <v>15</v>
      </c>
      <c r="AL15">
        <v>463</v>
      </c>
    </row>
    <row r="16" spans="1:38" x14ac:dyDescent="0.3">
      <c r="A16" s="3">
        <v>44578.535370370373</v>
      </c>
      <c r="B16">
        <v>-87.953911510710398</v>
      </c>
      <c r="C16">
        <v>11.221927435054299</v>
      </c>
      <c r="D16">
        <v>20.745315157921699</v>
      </c>
      <c r="E16" s="1" t="s">
        <v>14</v>
      </c>
      <c r="F16">
        <v>3.7768505541019399</v>
      </c>
      <c r="G16">
        <v>8.1556943992729707</v>
      </c>
      <c r="H16">
        <v>4</v>
      </c>
      <c r="I16">
        <v>17</v>
      </c>
      <c r="J16" s="1" t="s">
        <v>15</v>
      </c>
      <c r="K16" s="1" t="s">
        <v>17</v>
      </c>
      <c r="L16" t="str" cm="1">
        <f t="array" ref="L16">_xlfn.IFS(B16&gt;-80,"Excellent",B16&gt;-95,"Good",B16&gt;-110,"Fair",  TRUE,"Poor")</f>
        <v>Good</v>
      </c>
      <c r="M16" s="1" t="str">
        <f t="shared" si="0"/>
        <v>Normal</v>
      </c>
    </row>
    <row r="17" spans="1:13" x14ac:dyDescent="0.3">
      <c r="A17" s="3">
        <v>44579.705451388887</v>
      </c>
      <c r="B17">
        <v>-82.298764779765406</v>
      </c>
      <c r="C17">
        <v>19.018329207683401</v>
      </c>
      <c r="D17">
        <v>1682.71431249121</v>
      </c>
      <c r="E17" s="1" t="s">
        <v>14</v>
      </c>
      <c r="F17">
        <v>1.4305819074770501</v>
      </c>
      <c r="G17">
        <v>6.0510868156456201</v>
      </c>
      <c r="H17">
        <v>6</v>
      </c>
      <c r="I17">
        <v>80</v>
      </c>
      <c r="J17" s="1" t="s">
        <v>12</v>
      </c>
      <c r="K17" s="1" t="s">
        <v>17</v>
      </c>
      <c r="L17" t="str" cm="1">
        <f t="array" ref="L17">_xlfn.IFS(B17&gt;-80,"Excellent",B17&gt;-95,"Good",B17&gt;-110,"Fair",  TRUE,"Poor")</f>
        <v>Good</v>
      </c>
      <c r="M17" s="1" t="str">
        <f t="shared" si="0"/>
        <v>Normal</v>
      </c>
    </row>
    <row r="18" spans="1:13" x14ac:dyDescent="0.3">
      <c r="A18" s="3">
        <v>44580.923622685186</v>
      </c>
      <c r="B18">
        <v>-105.543497796024</v>
      </c>
      <c r="C18">
        <v>15.6159048219904</v>
      </c>
      <c r="D18">
        <v>1225.4348518996801</v>
      </c>
      <c r="E18" s="1" t="s">
        <v>16</v>
      </c>
      <c r="F18">
        <v>0.82705457194919896</v>
      </c>
      <c r="G18">
        <v>3.0694058895348499</v>
      </c>
      <c r="H18">
        <v>5</v>
      </c>
      <c r="I18">
        <v>50</v>
      </c>
      <c r="J18" s="1" t="s">
        <v>15</v>
      </c>
      <c r="K18" s="1" t="s">
        <v>17</v>
      </c>
      <c r="L18" t="str" cm="1">
        <f t="array" ref="L18">_xlfn.IFS(B18&gt;-80,"Excellent",B18&gt;-95,"Good",B18&gt;-110,"Fair",  TRUE,"Poor")</f>
        <v>Fair</v>
      </c>
      <c r="M18" s="1" t="str">
        <f t="shared" si="0"/>
        <v>Normal</v>
      </c>
    </row>
    <row r="19" spans="1:13" x14ac:dyDescent="0.3">
      <c r="A19" s="3">
        <v>44581.673182870371</v>
      </c>
      <c r="B19">
        <v>-65.741318493240797</v>
      </c>
      <c r="C19">
        <v>17.951671804222801</v>
      </c>
      <c r="D19">
        <v>1468.4355584012601</v>
      </c>
      <c r="E19" s="1" t="s">
        <v>18</v>
      </c>
      <c r="F19">
        <v>6.1820440991521997</v>
      </c>
      <c r="G19">
        <v>8.1784004003298296</v>
      </c>
      <c r="H19">
        <v>3</v>
      </c>
      <c r="I19">
        <v>91</v>
      </c>
      <c r="J19" s="1" t="s">
        <v>12</v>
      </c>
      <c r="K19" s="1" t="s">
        <v>13</v>
      </c>
      <c r="L19" t="str" cm="1">
        <f t="array" ref="L19">_xlfn.IFS(B19&gt;-80,"Excellent",B19&gt;-95,"Good",B19&gt;-110,"Fair",  TRUE,"Poor")</f>
        <v>Excellent</v>
      </c>
      <c r="M19" s="1" t="str">
        <f t="shared" si="0"/>
        <v>Normal</v>
      </c>
    </row>
    <row r="20" spans="1:13" x14ac:dyDescent="0.3">
      <c r="A20" s="3">
        <v>44582.432222222225</v>
      </c>
      <c r="B20">
        <v>-93.135571358703103</v>
      </c>
      <c r="C20">
        <v>19.605711473081598</v>
      </c>
      <c r="D20">
        <v>195.65780928967899</v>
      </c>
      <c r="E20" s="1" t="s">
        <v>18</v>
      </c>
      <c r="F20">
        <v>5.7644491127252602</v>
      </c>
      <c r="G20">
        <v>2.8839084641108399</v>
      </c>
      <c r="H20">
        <v>2</v>
      </c>
      <c r="I20">
        <v>33</v>
      </c>
      <c r="J20" s="1" t="s">
        <v>12</v>
      </c>
      <c r="K20" s="1" t="s">
        <v>13</v>
      </c>
      <c r="L20" t="str" cm="1">
        <f t="array" ref="L20">_xlfn.IFS(B20&gt;-80,"Excellent",B20&gt;-95,"Good",B20&gt;-110,"Fair",  TRUE,"Poor")</f>
        <v>Good</v>
      </c>
      <c r="M20" s="1" t="str">
        <f t="shared" si="0"/>
        <v>Normal</v>
      </c>
    </row>
    <row r="21" spans="1:13" x14ac:dyDescent="0.3">
      <c r="A21" s="3">
        <v>44583.560740740744</v>
      </c>
      <c r="B21">
        <v>-77.069920515129496</v>
      </c>
      <c r="C21">
        <v>24.830161118784499</v>
      </c>
      <c r="D21">
        <v>1724.0370136014501</v>
      </c>
      <c r="E21" s="1" t="s">
        <v>16</v>
      </c>
      <c r="F21">
        <v>2.5196512620879301</v>
      </c>
      <c r="G21">
        <v>6.0149144221724598</v>
      </c>
      <c r="H21">
        <v>2</v>
      </c>
      <c r="I21">
        <v>29</v>
      </c>
      <c r="J21" s="1" t="s">
        <v>12</v>
      </c>
      <c r="K21" s="1" t="s">
        <v>13</v>
      </c>
      <c r="L21" t="str" cm="1">
        <f t="array" ref="L21">_xlfn.IFS(B21&gt;-80,"Excellent",B21&gt;-95,"Good",B21&gt;-110,"Fair",  TRUE,"Poor")</f>
        <v>Excellent</v>
      </c>
      <c r="M21" s="1" t="str">
        <f t="shared" si="0"/>
        <v>Normal</v>
      </c>
    </row>
    <row r="22" spans="1:13" x14ac:dyDescent="0.3">
      <c r="A22" s="3">
        <v>44584.885324074072</v>
      </c>
      <c r="B22">
        <v>-79.615003543572996</v>
      </c>
      <c r="C22">
        <v>12.2102726045732</v>
      </c>
      <c r="D22">
        <v>1362.30000689552</v>
      </c>
      <c r="E22" s="1" t="s">
        <v>16</v>
      </c>
      <c r="F22">
        <v>3.78758676988955</v>
      </c>
      <c r="G22">
        <v>0.48259831349161098</v>
      </c>
      <c r="H22">
        <v>6</v>
      </c>
      <c r="I22">
        <v>7</v>
      </c>
      <c r="J22" s="1" t="s">
        <v>12</v>
      </c>
      <c r="K22" s="1" t="s">
        <v>13</v>
      </c>
      <c r="L22" t="str" cm="1">
        <f t="array" ref="L22">_xlfn.IFS(B22&gt;-80,"Excellent",B22&gt;-95,"Good",B22&gt;-110,"Fair",  TRUE,"Poor")</f>
        <v>Excellent</v>
      </c>
      <c r="M22" s="1" t="str">
        <f t="shared" si="0"/>
        <v>Normal</v>
      </c>
    </row>
    <row r="23" spans="1:13" x14ac:dyDescent="0.3">
      <c r="A23" s="3">
        <v>44585.588275462964</v>
      </c>
      <c r="B23">
        <v>-103.437033340852</v>
      </c>
      <c r="C23">
        <v>20.886237533864801</v>
      </c>
      <c r="D23">
        <v>1710.1123971801201</v>
      </c>
      <c r="E23" s="1" t="s">
        <v>11</v>
      </c>
      <c r="F23">
        <v>7.0761211292902599</v>
      </c>
      <c r="G23">
        <v>9.7946103060158691</v>
      </c>
      <c r="H23">
        <v>6</v>
      </c>
      <c r="I23">
        <v>19</v>
      </c>
      <c r="J23" s="1" t="s">
        <v>15</v>
      </c>
      <c r="K23" s="1" t="s">
        <v>13</v>
      </c>
      <c r="L23" t="str" cm="1">
        <f t="array" ref="L23">_xlfn.IFS(B23&gt;-80,"Excellent",B23&gt;-95,"Good",B23&gt;-110,"Fair",  TRUE,"Poor")</f>
        <v>Fair</v>
      </c>
      <c r="M23" s="1" t="str">
        <f t="shared" si="0"/>
        <v>Normal</v>
      </c>
    </row>
    <row r="24" spans="1:13" x14ac:dyDescent="0.3">
      <c r="A24" s="3">
        <v>44586.987245370372</v>
      </c>
      <c r="B24">
        <v>-98.467308095347704</v>
      </c>
      <c r="C24">
        <v>12.6099479822958</v>
      </c>
      <c r="D24">
        <v>1522.6504249233201</v>
      </c>
      <c r="E24" s="1" t="s">
        <v>14</v>
      </c>
      <c r="F24">
        <v>9.6231165017572007</v>
      </c>
      <c r="G24">
        <v>5.2114856362328901</v>
      </c>
      <c r="H24">
        <v>7</v>
      </c>
      <c r="I24">
        <v>98</v>
      </c>
      <c r="J24" s="1" t="s">
        <v>12</v>
      </c>
      <c r="K24" s="1" t="s">
        <v>13</v>
      </c>
      <c r="L24" t="str" cm="1">
        <f t="array" ref="L24">_xlfn.IFS(B24&gt;-80,"Excellent",B24&gt;-95,"Good",B24&gt;-110,"Fair",  TRUE,"Poor")</f>
        <v>Fair</v>
      </c>
      <c r="M24" s="1" t="str">
        <f t="shared" si="0"/>
        <v>Normal</v>
      </c>
    </row>
    <row r="25" spans="1:13" x14ac:dyDescent="0.3">
      <c r="A25" s="3">
        <v>44587.518726851849</v>
      </c>
      <c r="B25">
        <v>-90.875820115685798</v>
      </c>
      <c r="C25">
        <v>20.0462599540528</v>
      </c>
      <c r="D25">
        <v>1212.13039725763</v>
      </c>
      <c r="E25" s="1" t="s">
        <v>16</v>
      </c>
      <c r="F25">
        <v>2.6159593615678398</v>
      </c>
      <c r="G25">
        <v>8.0529382771891704</v>
      </c>
      <c r="H25">
        <v>7</v>
      </c>
      <c r="I25">
        <v>23</v>
      </c>
      <c r="J25" s="1" t="s">
        <v>15</v>
      </c>
      <c r="K25" s="1" t="s">
        <v>17</v>
      </c>
      <c r="L25" t="str" cm="1">
        <f t="array" ref="L25">_xlfn.IFS(B25&gt;-80,"Excellent",B25&gt;-95,"Good",B25&gt;-110,"Fair",  TRUE,"Poor")</f>
        <v>Good</v>
      </c>
      <c r="M25" s="1" t="str">
        <f t="shared" si="0"/>
        <v>Normal</v>
      </c>
    </row>
    <row r="26" spans="1:13" x14ac:dyDescent="0.3">
      <c r="A26" s="3">
        <v>44588.751550925925</v>
      </c>
      <c r="B26">
        <v>-69.989981477924005</v>
      </c>
      <c r="C26">
        <v>25.9904075454801</v>
      </c>
      <c r="D26">
        <v>381.22589464820197</v>
      </c>
      <c r="E26" s="1" t="s">
        <v>18</v>
      </c>
      <c r="F26">
        <v>2.4427395319416201</v>
      </c>
      <c r="G26">
        <v>7.1185606955353196</v>
      </c>
      <c r="H26">
        <v>6</v>
      </c>
      <c r="I26">
        <v>94</v>
      </c>
      <c r="J26" s="1" t="s">
        <v>15</v>
      </c>
      <c r="K26" s="1" t="s">
        <v>13</v>
      </c>
      <c r="L26" t="str" cm="1">
        <f t="array" ref="L26">_xlfn.IFS(B26&gt;-80,"Excellent",B26&gt;-95,"Good",B26&gt;-110,"Fair",  TRUE,"Poor")</f>
        <v>Excellent</v>
      </c>
      <c r="M26" s="1" t="str">
        <f t="shared" si="0"/>
        <v>Normal</v>
      </c>
    </row>
    <row r="27" spans="1:13" x14ac:dyDescent="0.3">
      <c r="A27" s="3">
        <v>44589.408622685187</v>
      </c>
      <c r="B27">
        <v>-104.26052950164301</v>
      </c>
      <c r="C27">
        <v>26.207665314169201</v>
      </c>
      <c r="D27">
        <v>1260.8300650435799</v>
      </c>
      <c r="E27" s="1" t="s">
        <v>18</v>
      </c>
      <c r="F27">
        <v>4.34636257256604</v>
      </c>
      <c r="G27">
        <v>3.9325685073654699</v>
      </c>
      <c r="H27">
        <v>9</v>
      </c>
      <c r="I27">
        <v>88</v>
      </c>
      <c r="J27" s="1" t="s">
        <v>15</v>
      </c>
      <c r="K27" s="1" t="s">
        <v>17</v>
      </c>
      <c r="L27" t="str" cm="1">
        <f t="array" ref="L27">_xlfn.IFS(B27&gt;-80,"Excellent",B27&gt;-95,"Good",B27&gt;-110,"Fair",  TRUE,"Poor")</f>
        <v>Fair</v>
      </c>
      <c r="M27" s="1" t="str">
        <f t="shared" si="0"/>
        <v>Normal</v>
      </c>
    </row>
    <row r="28" spans="1:13" x14ac:dyDescent="0.3">
      <c r="A28" s="3">
        <v>44590.879479166666</v>
      </c>
      <c r="B28">
        <v>-75.856058044801799</v>
      </c>
      <c r="C28">
        <v>16.635219372857001</v>
      </c>
      <c r="D28">
        <v>1352.41657535629</v>
      </c>
      <c r="E28" s="1" t="s">
        <v>14</v>
      </c>
      <c r="F28">
        <v>8.0291511577039198</v>
      </c>
      <c r="G28">
        <v>1.6408789088971301</v>
      </c>
      <c r="H28">
        <v>10</v>
      </c>
      <c r="I28">
        <v>85</v>
      </c>
      <c r="J28" s="1" t="s">
        <v>12</v>
      </c>
      <c r="K28" s="1" t="s">
        <v>13</v>
      </c>
      <c r="L28" t="str" cm="1">
        <f t="array" ref="L28">_xlfn.IFS(B28&gt;-80,"Excellent",B28&gt;-95,"Good",B28&gt;-110,"Fair",  TRUE,"Poor")</f>
        <v>Excellent</v>
      </c>
      <c r="M28" s="1" t="str">
        <f t="shared" si="0"/>
        <v>Normal</v>
      </c>
    </row>
    <row r="29" spans="1:13" x14ac:dyDescent="0.3">
      <c r="A29" s="3">
        <v>44591.428923611114</v>
      </c>
      <c r="B29">
        <v>-107.055642103382</v>
      </c>
      <c r="C29">
        <v>29.212495576490699</v>
      </c>
      <c r="D29">
        <v>1342.5736108410399</v>
      </c>
      <c r="E29" s="1" t="s">
        <v>11</v>
      </c>
      <c r="F29">
        <v>6.7132741125845401</v>
      </c>
      <c r="G29">
        <v>8.4465743707522094</v>
      </c>
      <c r="H29">
        <v>4</v>
      </c>
      <c r="I29">
        <v>17</v>
      </c>
      <c r="J29" s="1" t="s">
        <v>12</v>
      </c>
      <c r="K29" s="1" t="s">
        <v>17</v>
      </c>
      <c r="L29" t="str" cm="1">
        <f t="array" ref="L29">_xlfn.IFS(B29&gt;-80,"Excellent",B29&gt;-95,"Good",B29&gt;-110,"Fair",  TRUE,"Poor")</f>
        <v>Fair</v>
      </c>
      <c r="M29" s="1" t="str">
        <f t="shared" si="0"/>
        <v>Normal</v>
      </c>
    </row>
    <row r="30" spans="1:13" x14ac:dyDescent="0.3">
      <c r="A30" s="3">
        <v>44592.407430555555</v>
      </c>
      <c r="B30">
        <v>-118.243982100463</v>
      </c>
      <c r="C30">
        <v>28.492086878050799</v>
      </c>
      <c r="D30">
        <v>879.04749972259197</v>
      </c>
      <c r="E30" s="1" t="s">
        <v>16</v>
      </c>
      <c r="F30">
        <v>0.34746304512274301</v>
      </c>
      <c r="G30">
        <v>9.7858686354799094</v>
      </c>
      <c r="H30">
        <v>4</v>
      </c>
      <c r="I30">
        <v>83</v>
      </c>
      <c r="J30" s="1" t="s">
        <v>15</v>
      </c>
      <c r="K30" s="1" t="s">
        <v>17</v>
      </c>
      <c r="L30" t="str" cm="1">
        <f t="array" ref="L30">_xlfn.IFS(B30&gt;-80,"Excellent",B30&gt;-95,"Good",B30&gt;-110,"Fair",  TRUE,"Poor")</f>
        <v>Poor</v>
      </c>
      <c r="M30" s="1" t="str">
        <f t="shared" si="0"/>
        <v>Normal</v>
      </c>
    </row>
    <row r="31" spans="1:13" x14ac:dyDescent="0.3">
      <c r="A31" s="3">
        <v>44593.621712962966</v>
      </c>
      <c r="B31">
        <v>-72.442702041296997</v>
      </c>
      <c r="C31">
        <v>13.058615219522601</v>
      </c>
      <c r="D31">
        <v>1203.86200479135</v>
      </c>
      <c r="E31" s="1" t="s">
        <v>18</v>
      </c>
      <c r="F31">
        <v>7.6775391850311996</v>
      </c>
      <c r="G31">
        <v>2.1802041121013098</v>
      </c>
      <c r="H31">
        <v>10</v>
      </c>
      <c r="I31">
        <v>11</v>
      </c>
      <c r="J31" s="1" t="s">
        <v>12</v>
      </c>
      <c r="K31" s="1" t="s">
        <v>17</v>
      </c>
      <c r="L31" t="str" cm="1">
        <f t="array" ref="L31">_xlfn.IFS(B31&gt;-80,"Excellent",B31&gt;-95,"Good",B31&gt;-110,"Fair",  TRUE,"Poor")</f>
        <v>Excellent</v>
      </c>
      <c r="M31" s="1" t="str">
        <f t="shared" si="0"/>
        <v>Normal</v>
      </c>
    </row>
    <row r="32" spans="1:13" x14ac:dyDescent="0.3">
      <c r="A32" s="3">
        <v>44594.875439814816</v>
      </c>
      <c r="B32">
        <v>-75.037625898447402</v>
      </c>
      <c r="C32">
        <v>29.515160243709001</v>
      </c>
      <c r="D32">
        <v>1219.15169238869</v>
      </c>
      <c r="E32" s="1" t="s">
        <v>18</v>
      </c>
      <c r="F32">
        <v>3.4103343999705</v>
      </c>
      <c r="G32">
        <v>8.2878222403599793</v>
      </c>
      <c r="H32">
        <v>8</v>
      </c>
      <c r="I32">
        <v>94</v>
      </c>
      <c r="J32" s="1" t="s">
        <v>12</v>
      </c>
      <c r="K32" s="1" t="s">
        <v>13</v>
      </c>
      <c r="L32" t="str" cm="1">
        <f t="array" ref="L32">_xlfn.IFS(B32&gt;-80,"Excellent",B32&gt;-95,"Good",B32&gt;-110,"Fair",  TRUE,"Poor")</f>
        <v>Excellent</v>
      </c>
      <c r="M32" s="1" t="str">
        <f t="shared" si="0"/>
        <v>Normal</v>
      </c>
    </row>
    <row r="33" spans="1:21" x14ac:dyDescent="0.3">
      <c r="A33" s="3">
        <v>44595.743668981479</v>
      </c>
      <c r="B33">
        <v>-101.145320910237</v>
      </c>
      <c r="C33">
        <v>14.028889143503401</v>
      </c>
      <c r="D33">
        <v>1100.3926665428301</v>
      </c>
      <c r="E33" s="1" t="s">
        <v>11</v>
      </c>
      <c r="F33">
        <v>5.3652218530278803</v>
      </c>
      <c r="G33">
        <v>5.2340564400026004</v>
      </c>
      <c r="H33">
        <v>2</v>
      </c>
      <c r="I33">
        <v>48</v>
      </c>
      <c r="J33" s="1" t="s">
        <v>12</v>
      </c>
      <c r="K33" s="1" t="s">
        <v>13</v>
      </c>
      <c r="L33" t="str" cm="1">
        <f t="array" ref="L33">_xlfn.IFS(B33&gt;-80,"Excellent",B33&gt;-95,"Good",B33&gt;-110,"Fair",  TRUE,"Poor")</f>
        <v>Fair</v>
      </c>
      <c r="M33" s="1" t="str">
        <f t="shared" si="0"/>
        <v>Normal</v>
      </c>
    </row>
    <row r="34" spans="1:21" x14ac:dyDescent="0.3">
      <c r="A34" s="3">
        <v>44596.847013888888</v>
      </c>
      <c r="B34">
        <v>-82.249617910647601</v>
      </c>
      <c r="C34">
        <v>22.244022449726099</v>
      </c>
      <c r="D34">
        <v>1388.02021170438</v>
      </c>
      <c r="E34" s="1" t="s">
        <v>16</v>
      </c>
      <c r="F34">
        <v>0.95336062259216303</v>
      </c>
      <c r="G34">
        <v>2.9979880718236802</v>
      </c>
      <c r="H34">
        <v>8</v>
      </c>
      <c r="I34">
        <v>50</v>
      </c>
      <c r="J34" s="1" t="s">
        <v>15</v>
      </c>
      <c r="K34" s="1" t="s">
        <v>13</v>
      </c>
      <c r="L34" t="str" cm="1">
        <f t="array" ref="L34">_xlfn.IFS(B34&gt;-80,"Excellent",B34&gt;-95,"Good",B34&gt;-110,"Fair",  TRUE,"Poor")</f>
        <v>Good</v>
      </c>
      <c r="M34" s="1" t="str">
        <f t="shared" si="0"/>
        <v>Normal</v>
      </c>
    </row>
    <row r="35" spans="1:21" x14ac:dyDescent="0.3">
      <c r="A35" s="3">
        <v>44597.492986111109</v>
      </c>
      <c r="B35">
        <v>-74.3576280884364</v>
      </c>
      <c r="C35">
        <v>17.115283248785001</v>
      </c>
      <c r="D35">
        <v>1274.60214774464</v>
      </c>
      <c r="E35" s="1" t="s">
        <v>14</v>
      </c>
      <c r="F35">
        <v>5.6745041060253296</v>
      </c>
      <c r="G35">
        <v>1.29410852654535</v>
      </c>
      <c r="H35">
        <v>10</v>
      </c>
      <c r="I35">
        <v>38</v>
      </c>
      <c r="J35" s="1" t="s">
        <v>12</v>
      </c>
      <c r="K35" s="1" t="s">
        <v>13</v>
      </c>
      <c r="L35" t="str" cm="1">
        <f t="array" ref="L35">_xlfn.IFS(B35&gt;-80,"Excellent",B35&gt;-95,"Good",B35&gt;-110,"Fair",  TRUE,"Poor")</f>
        <v>Excellent</v>
      </c>
      <c r="M35" s="1" t="str">
        <f t="shared" si="0"/>
        <v>Normal</v>
      </c>
    </row>
    <row r="36" spans="1:21" x14ac:dyDescent="0.3">
      <c r="A36" s="3">
        <v>44598.553912037038</v>
      </c>
      <c r="B36">
        <v>-101.52635007015699</v>
      </c>
      <c r="C36">
        <v>16.1967572796501</v>
      </c>
      <c r="D36">
        <v>82.7998687801486</v>
      </c>
      <c r="E36" s="1" t="s">
        <v>11</v>
      </c>
      <c r="F36">
        <v>10.0811263773129</v>
      </c>
      <c r="G36">
        <v>1.1799149099164199</v>
      </c>
      <c r="H36">
        <v>10</v>
      </c>
      <c r="I36">
        <v>43</v>
      </c>
      <c r="J36" s="1" t="s">
        <v>12</v>
      </c>
      <c r="K36" s="1" t="s">
        <v>13</v>
      </c>
      <c r="L36" t="str" cm="1">
        <f t="array" ref="L36">_xlfn.IFS(B36&gt;-80,"Excellent",B36&gt;-95,"Good",B36&gt;-110,"Fair",  TRUE,"Poor")</f>
        <v>Fair</v>
      </c>
      <c r="M36" s="1" t="str">
        <f t="shared" si="0"/>
        <v>High Loss</v>
      </c>
    </row>
    <row r="37" spans="1:21" x14ac:dyDescent="0.3">
      <c r="A37" s="3">
        <v>44599.588090277779</v>
      </c>
      <c r="B37">
        <v>-77.371503936817405</v>
      </c>
      <c r="C37">
        <v>19.3317251799375</v>
      </c>
      <c r="D37">
        <v>802.24297501489195</v>
      </c>
      <c r="E37" s="1" t="s">
        <v>11</v>
      </c>
      <c r="F37">
        <v>10.801319976957201</v>
      </c>
      <c r="G37">
        <v>9.9164959450230992</v>
      </c>
      <c r="H37">
        <v>1</v>
      </c>
      <c r="I37">
        <v>52</v>
      </c>
      <c r="J37" s="1" t="s">
        <v>12</v>
      </c>
      <c r="K37" s="1" t="s">
        <v>17</v>
      </c>
      <c r="L37" t="str" cm="1">
        <f t="array" ref="L37">_xlfn.IFS(B37&gt;-80,"Excellent",B37&gt;-95,"Good",B37&gt;-110,"Fair",  TRUE,"Poor")</f>
        <v>Excellent</v>
      </c>
      <c r="M37" s="1" t="str">
        <f t="shared" si="0"/>
        <v>High Loss</v>
      </c>
    </row>
    <row r="38" spans="1:21" x14ac:dyDescent="0.3">
      <c r="A38" s="3">
        <v>44600.763414351852</v>
      </c>
      <c r="B38">
        <v>-61.198388282269597</v>
      </c>
      <c r="C38">
        <v>22.807500635432898</v>
      </c>
      <c r="D38">
        <v>1186.6786012815901</v>
      </c>
      <c r="E38" s="1" t="s">
        <v>14</v>
      </c>
      <c r="F38">
        <v>5.7375413256014101</v>
      </c>
      <c r="G38">
        <v>5.1838310154955902</v>
      </c>
      <c r="H38">
        <v>9</v>
      </c>
      <c r="I38">
        <v>55</v>
      </c>
      <c r="J38" s="1" t="s">
        <v>12</v>
      </c>
      <c r="K38" s="1" t="s">
        <v>13</v>
      </c>
      <c r="L38" t="str" cm="1">
        <f t="array" ref="L38">_xlfn.IFS(B38&gt;-80,"Excellent",B38&gt;-95,"Good",B38&gt;-110,"Fair",  TRUE,"Poor")</f>
        <v>Excellent</v>
      </c>
      <c r="M38" s="1" t="str">
        <f t="shared" si="0"/>
        <v>Normal</v>
      </c>
    </row>
    <row r="39" spans="1:21" x14ac:dyDescent="0.3">
      <c r="A39" s="3">
        <v>44601.777546296296</v>
      </c>
      <c r="B39">
        <v>-73.692772484632201</v>
      </c>
      <c r="C39">
        <v>27.6361340485354</v>
      </c>
      <c r="D39">
        <v>144.33900567016099</v>
      </c>
      <c r="E39" s="1" t="s">
        <v>14</v>
      </c>
      <c r="F39">
        <v>5.6056651926616201</v>
      </c>
      <c r="G39">
        <v>2.7326937898061101</v>
      </c>
      <c r="H39">
        <v>10</v>
      </c>
      <c r="I39">
        <v>69</v>
      </c>
      <c r="J39" s="1" t="s">
        <v>15</v>
      </c>
      <c r="K39" s="1" t="s">
        <v>13</v>
      </c>
      <c r="L39" t="str" cm="1">
        <f t="array" ref="L39">_xlfn.IFS(B39&gt;-80,"Excellent",B39&gt;-95,"Good",B39&gt;-110,"Fair",  TRUE,"Poor")</f>
        <v>Excellent</v>
      </c>
      <c r="M39" s="1" t="str">
        <f t="shared" si="0"/>
        <v>Normal</v>
      </c>
    </row>
    <row r="40" spans="1:21" x14ac:dyDescent="0.3">
      <c r="A40" s="3">
        <v>44602.525138888886</v>
      </c>
      <c r="B40">
        <v>-101.16083838561801</v>
      </c>
      <c r="C40">
        <v>25.369369451296201</v>
      </c>
      <c r="D40">
        <v>1016.41250164827</v>
      </c>
      <c r="E40" s="1" t="s">
        <v>11</v>
      </c>
      <c r="F40">
        <v>8.5173092468609894</v>
      </c>
      <c r="G40">
        <v>8.1620185019484506</v>
      </c>
      <c r="H40">
        <v>3</v>
      </c>
      <c r="I40">
        <v>75</v>
      </c>
      <c r="J40" s="1" t="s">
        <v>12</v>
      </c>
      <c r="K40" s="1" t="s">
        <v>13</v>
      </c>
      <c r="L40" t="str" cm="1">
        <f t="array" ref="L40">_xlfn.IFS(B40&gt;-80,"Excellent",B40&gt;-95,"Good",B40&gt;-110,"Fair",  TRUE,"Poor")</f>
        <v>Fair</v>
      </c>
      <c r="M40" s="1" t="str">
        <f t="shared" si="0"/>
        <v>Normal</v>
      </c>
    </row>
    <row r="41" spans="1:21" x14ac:dyDescent="0.3">
      <c r="A41" s="3">
        <v>44603.840925925928</v>
      </c>
      <c r="B41">
        <v>-88.904163999693594</v>
      </c>
      <c r="C41">
        <v>21.722730997248998</v>
      </c>
      <c r="D41">
        <v>848.76542217671295</v>
      </c>
      <c r="E41" s="1" t="s">
        <v>14</v>
      </c>
      <c r="F41">
        <v>6.6880745267463597</v>
      </c>
      <c r="G41">
        <v>4.4317581474537703E-2</v>
      </c>
      <c r="H41">
        <v>2</v>
      </c>
      <c r="I41">
        <v>22</v>
      </c>
      <c r="J41" s="1" t="s">
        <v>12</v>
      </c>
      <c r="K41" s="1" t="s">
        <v>17</v>
      </c>
      <c r="L41" t="str" cm="1">
        <f t="array" ref="L41">_xlfn.IFS(B41&gt;-80,"Excellent",B41&gt;-95,"Good",B41&gt;-110,"Fair",  TRUE,"Poor")</f>
        <v>Good</v>
      </c>
      <c r="M41" s="1" t="str">
        <f t="shared" si="0"/>
        <v>Normal</v>
      </c>
    </row>
    <row r="42" spans="1:21" x14ac:dyDescent="0.3">
      <c r="A42" s="3">
        <v>44604.70685185185</v>
      </c>
      <c r="B42">
        <v>-91.099208555624102</v>
      </c>
      <c r="C42">
        <v>22.1709769933701</v>
      </c>
      <c r="D42">
        <v>1586.3382980507899</v>
      </c>
      <c r="E42" s="1" t="s">
        <v>18</v>
      </c>
      <c r="F42">
        <v>3.1302071507539302</v>
      </c>
      <c r="G42">
        <v>3.0951288232226499</v>
      </c>
      <c r="H42">
        <v>7</v>
      </c>
      <c r="I42">
        <v>65</v>
      </c>
      <c r="J42" s="1" t="s">
        <v>15</v>
      </c>
      <c r="K42" s="1" t="s">
        <v>13</v>
      </c>
      <c r="L42" t="str" cm="1">
        <f t="array" ref="L42">_xlfn.IFS(B42&gt;-80,"Excellent",B42&gt;-95,"Good",B42&gt;-110,"Fair",  TRUE,"Poor")</f>
        <v>Good</v>
      </c>
      <c r="M42" s="1" t="str">
        <f t="shared" si="0"/>
        <v>Normal</v>
      </c>
    </row>
    <row r="43" spans="1:21" x14ac:dyDescent="0.3">
      <c r="A43" s="3">
        <v>44605.42150462963</v>
      </c>
      <c r="B43">
        <v>-95.380488844043597</v>
      </c>
      <c r="C43">
        <v>28.456054902588399</v>
      </c>
      <c r="D43">
        <v>1736.68297987952</v>
      </c>
      <c r="E43" s="1" t="s">
        <v>11</v>
      </c>
      <c r="F43">
        <v>14.481916729552699</v>
      </c>
      <c r="G43">
        <v>5.1871839916645204</v>
      </c>
      <c r="H43">
        <v>6</v>
      </c>
      <c r="I43">
        <v>62</v>
      </c>
      <c r="J43" s="1" t="s">
        <v>12</v>
      </c>
      <c r="K43" s="1" t="s">
        <v>17</v>
      </c>
      <c r="L43" t="str" cm="1">
        <f t="array" ref="L43">_xlfn.IFS(B43&gt;-80,"Excellent",B43&gt;-95,"Good",B43&gt;-110,"Fair",  TRUE,"Poor")</f>
        <v>Fair</v>
      </c>
      <c r="M43" s="1" t="str">
        <f t="shared" si="0"/>
        <v>High Loss</v>
      </c>
    </row>
    <row r="44" spans="1:21" x14ac:dyDescent="0.3">
      <c r="A44" s="3">
        <v>44606.894780092596</v>
      </c>
      <c r="B44">
        <v>-100.46909253434499</v>
      </c>
      <c r="C44">
        <v>10.683836611039</v>
      </c>
      <c r="D44">
        <v>444.90103955163602</v>
      </c>
      <c r="E44" s="1" t="s">
        <v>11</v>
      </c>
      <c r="F44">
        <v>14.5639063576268</v>
      </c>
      <c r="G44">
        <v>0.87009109842897603</v>
      </c>
      <c r="H44">
        <v>7</v>
      </c>
      <c r="I44">
        <v>97</v>
      </c>
      <c r="J44" s="1" t="s">
        <v>12</v>
      </c>
      <c r="K44" s="1" t="s">
        <v>17</v>
      </c>
      <c r="L44" t="str" cm="1">
        <f t="array" ref="L44">_xlfn.IFS(B44&gt;-80,"Excellent",B44&gt;-95,"Good",B44&gt;-110,"Fair",  TRUE,"Poor")</f>
        <v>Fair</v>
      </c>
      <c r="M44" s="1" t="str">
        <f t="shared" si="0"/>
        <v>High Loss</v>
      </c>
    </row>
    <row r="45" spans="1:21" x14ac:dyDescent="0.3">
      <c r="A45" s="3">
        <v>44607.811631944445</v>
      </c>
      <c r="B45">
        <v>-81.371239217319101</v>
      </c>
      <c r="C45">
        <v>16.8480059580865</v>
      </c>
      <c r="D45">
        <v>233.762817151181</v>
      </c>
      <c r="E45" s="1" t="s">
        <v>18</v>
      </c>
      <c r="F45">
        <v>7.7718991476090702</v>
      </c>
      <c r="G45">
        <v>5.0830376185255197</v>
      </c>
      <c r="H45">
        <v>8</v>
      </c>
      <c r="I45">
        <v>44</v>
      </c>
      <c r="J45" s="1" t="s">
        <v>15</v>
      </c>
      <c r="K45" s="1" t="s">
        <v>13</v>
      </c>
      <c r="L45" t="str" cm="1">
        <f t="array" ref="L45">_xlfn.IFS(B45&gt;-80,"Excellent",B45&gt;-95,"Good",B45&gt;-110,"Fair",  TRUE,"Poor")</f>
        <v>Good</v>
      </c>
      <c r="M45" s="1" t="str">
        <f t="shared" si="0"/>
        <v>Normal</v>
      </c>
    </row>
    <row r="46" spans="1:21" x14ac:dyDescent="0.3">
      <c r="A46" s="3">
        <v>44608.908043981479</v>
      </c>
      <c r="B46">
        <v>-88.393745084362706</v>
      </c>
      <c r="C46">
        <v>29.3257676475524</v>
      </c>
      <c r="D46">
        <v>1029.85034541865</v>
      </c>
      <c r="E46" s="1" t="s">
        <v>11</v>
      </c>
      <c r="F46">
        <v>6.4457119596360402</v>
      </c>
      <c r="G46">
        <v>9.5745197229759604</v>
      </c>
      <c r="H46">
        <v>10</v>
      </c>
      <c r="I46">
        <v>59</v>
      </c>
      <c r="J46" s="1" t="s">
        <v>12</v>
      </c>
      <c r="K46" s="1" t="s">
        <v>17</v>
      </c>
      <c r="L46" t="str" cm="1">
        <f t="array" ref="L46">_xlfn.IFS(B46&gt;-80,"Excellent",B46&gt;-95,"Good",B46&gt;-110,"Fair",  TRUE,"Poor")</f>
        <v>Good</v>
      </c>
      <c r="M46" s="1" t="str">
        <f t="shared" si="0"/>
        <v>Normal</v>
      </c>
    </row>
    <row r="47" spans="1:21" x14ac:dyDescent="0.3">
      <c r="A47" s="3">
        <v>44609.976446759261</v>
      </c>
      <c r="B47">
        <v>-86.024470065884799</v>
      </c>
      <c r="C47">
        <v>13.7216840225132</v>
      </c>
      <c r="D47">
        <v>669.867353692591</v>
      </c>
      <c r="E47" s="1" t="s">
        <v>18</v>
      </c>
      <c r="F47">
        <v>6.4873834551617904</v>
      </c>
      <c r="G47">
        <v>9.7917141684580393</v>
      </c>
      <c r="H47">
        <v>6</v>
      </c>
      <c r="I47">
        <v>46</v>
      </c>
      <c r="J47" s="1" t="s">
        <v>15</v>
      </c>
      <c r="K47" s="1" t="s">
        <v>17</v>
      </c>
      <c r="L47" t="str" cm="1">
        <f t="array" ref="L47">_xlfn.IFS(B47&gt;-80,"Excellent",B47&gt;-95,"Good",B47&gt;-110,"Fair",  TRUE,"Poor")</f>
        <v>Good</v>
      </c>
      <c r="M47" s="1" t="str">
        <f t="shared" si="0"/>
        <v>Normal</v>
      </c>
    </row>
    <row r="48" spans="1:21" x14ac:dyDescent="0.3">
      <c r="A48" s="3">
        <v>44610.58394675926</v>
      </c>
      <c r="B48">
        <v>-78.150988875500602</v>
      </c>
      <c r="C48">
        <v>19.621374639206799</v>
      </c>
      <c r="D48">
        <v>308.51792156899802</v>
      </c>
      <c r="E48" s="1" t="s">
        <v>11</v>
      </c>
      <c r="F48">
        <v>11.0612980087105</v>
      </c>
      <c r="G48">
        <v>1.5262072458399101</v>
      </c>
      <c r="H48">
        <v>9</v>
      </c>
      <c r="I48">
        <v>5</v>
      </c>
      <c r="J48" s="1" t="s">
        <v>15</v>
      </c>
      <c r="K48" s="1" t="s">
        <v>17</v>
      </c>
      <c r="L48" t="str" cm="1">
        <f t="array" ref="L48">_xlfn.IFS(B48&gt;-80,"Excellent",B48&gt;-95,"Good",B48&gt;-110,"Fair",  TRUE,"Poor")</f>
        <v>Excellent</v>
      </c>
      <c r="M48" s="1" t="str">
        <f t="shared" si="0"/>
        <v>High Loss</v>
      </c>
      <c r="U48">
        <f>-Q16</f>
        <v>0</v>
      </c>
    </row>
    <row r="49" spans="1:13" x14ac:dyDescent="0.3">
      <c r="A49" s="3">
        <v>44611.467013888891</v>
      </c>
      <c r="B49">
        <v>-85.229985930823702</v>
      </c>
      <c r="C49">
        <v>18.632744157591102</v>
      </c>
      <c r="D49">
        <v>1681.26138317202</v>
      </c>
      <c r="E49" s="1" t="s">
        <v>11</v>
      </c>
      <c r="F49">
        <v>6.1760705405776504</v>
      </c>
      <c r="G49">
        <v>8.4670184455255804</v>
      </c>
      <c r="H49">
        <v>2</v>
      </c>
      <c r="I49">
        <v>56</v>
      </c>
      <c r="J49" s="1" t="s">
        <v>15</v>
      </c>
      <c r="K49" s="1" t="s">
        <v>13</v>
      </c>
      <c r="L49" t="str" cm="1">
        <f t="array" ref="L49">_xlfn.IFS(B49&gt;-80,"Excellent",B49&gt;-95,"Good",B49&gt;-110,"Fair",  TRUE,"Poor")</f>
        <v>Good</v>
      </c>
      <c r="M49" s="1" t="str">
        <f t="shared" si="0"/>
        <v>Normal</v>
      </c>
    </row>
    <row r="50" spans="1:13" x14ac:dyDescent="0.3">
      <c r="A50" s="3">
        <v>44612.914525462962</v>
      </c>
      <c r="B50">
        <v>-66.343286306392699</v>
      </c>
      <c r="C50">
        <v>18.749503698603299</v>
      </c>
      <c r="D50">
        <v>1228.47216944099</v>
      </c>
      <c r="E50" s="1" t="s">
        <v>18</v>
      </c>
      <c r="F50">
        <v>6.6588328329227897</v>
      </c>
      <c r="G50">
        <v>2.4185979191620302</v>
      </c>
      <c r="H50">
        <v>5</v>
      </c>
      <c r="I50">
        <v>70</v>
      </c>
      <c r="J50" s="1" t="s">
        <v>15</v>
      </c>
      <c r="K50" s="1" t="s">
        <v>13</v>
      </c>
      <c r="L50" t="str" cm="1">
        <f t="array" ref="L50">_xlfn.IFS(B50&gt;-80,"Excellent",B50&gt;-95,"Good",B50&gt;-110,"Fair",  TRUE,"Poor")</f>
        <v>Excellent</v>
      </c>
      <c r="M50" s="1" t="str">
        <f t="shared" si="0"/>
        <v>Normal</v>
      </c>
    </row>
    <row r="51" spans="1:13" x14ac:dyDescent="0.3">
      <c r="A51" s="3">
        <v>44613.498356481483</v>
      </c>
      <c r="B51">
        <v>-76.102174189444</v>
      </c>
      <c r="C51">
        <v>16.753993657736501</v>
      </c>
      <c r="D51">
        <v>990.76439254115303</v>
      </c>
      <c r="E51" s="1" t="s">
        <v>18</v>
      </c>
      <c r="F51">
        <v>6.7735534483260098</v>
      </c>
      <c r="G51">
        <v>3.22484316104654</v>
      </c>
      <c r="H51">
        <v>5</v>
      </c>
      <c r="I51">
        <v>63</v>
      </c>
      <c r="J51" s="1" t="s">
        <v>12</v>
      </c>
      <c r="K51" s="1" t="s">
        <v>17</v>
      </c>
      <c r="L51" t="str" cm="1">
        <f t="array" ref="L51">_xlfn.IFS(B51&gt;-80,"Excellent",B51&gt;-95,"Good",B51&gt;-110,"Fair",  TRUE,"Poor")</f>
        <v>Excellent</v>
      </c>
      <c r="M51" s="1" t="str">
        <f t="shared" si="0"/>
        <v>Normal</v>
      </c>
    </row>
    <row r="52" spans="1:13" x14ac:dyDescent="0.3">
      <c r="A52" s="3">
        <v>44614.572025462963</v>
      </c>
      <c r="B52">
        <v>-78.311075016663807</v>
      </c>
      <c r="C52">
        <v>11.646870826394</v>
      </c>
      <c r="D52">
        <v>238.009977582803</v>
      </c>
      <c r="E52" s="1" t="s">
        <v>18</v>
      </c>
      <c r="F52">
        <v>3.16858172090584</v>
      </c>
      <c r="G52">
        <v>3.0462751713749601</v>
      </c>
      <c r="H52">
        <v>9</v>
      </c>
      <c r="I52">
        <v>68</v>
      </c>
      <c r="J52" s="1" t="s">
        <v>15</v>
      </c>
      <c r="K52" s="1" t="s">
        <v>17</v>
      </c>
      <c r="L52" t="str" cm="1">
        <f t="array" ref="L52">_xlfn.IFS(B52&gt;-80,"Excellent",B52&gt;-95,"Good",B52&gt;-110,"Fair",  TRUE,"Poor")</f>
        <v>Excellent</v>
      </c>
      <c r="M52" s="1" t="str">
        <f t="shared" si="0"/>
        <v>Normal</v>
      </c>
    </row>
    <row r="53" spans="1:13" x14ac:dyDescent="0.3">
      <c r="A53" s="3">
        <v>44615.423356481479</v>
      </c>
      <c r="B53">
        <v>-61.205566531499201</v>
      </c>
      <c r="C53">
        <v>11.973081499727501</v>
      </c>
      <c r="D53">
        <v>1355.85110256198</v>
      </c>
      <c r="E53" s="1" t="s">
        <v>16</v>
      </c>
      <c r="F53">
        <v>1.1624505737760999</v>
      </c>
      <c r="G53">
        <v>6.8174645822445799</v>
      </c>
      <c r="H53">
        <v>5</v>
      </c>
      <c r="I53">
        <v>61</v>
      </c>
      <c r="J53" s="1" t="s">
        <v>12</v>
      </c>
      <c r="K53" s="1" t="s">
        <v>17</v>
      </c>
      <c r="L53" t="str" cm="1">
        <f t="array" ref="L53">_xlfn.IFS(B53&gt;-80,"Excellent",B53&gt;-95,"Good",B53&gt;-110,"Fair",  TRUE,"Poor")</f>
        <v>Excellent</v>
      </c>
      <c r="M53" s="1" t="str">
        <f t="shared" si="0"/>
        <v>Normal</v>
      </c>
    </row>
    <row r="54" spans="1:13" x14ac:dyDescent="0.3">
      <c r="A54" s="3">
        <v>44616.800335648149</v>
      </c>
      <c r="B54">
        <v>-98.424558821113294</v>
      </c>
      <c r="C54">
        <v>24.771415599612599</v>
      </c>
      <c r="D54">
        <v>438.67682915730302</v>
      </c>
      <c r="E54" s="1" t="s">
        <v>18</v>
      </c>
      <c r="F54">
        <v>3.2059340181337301</v>
      </c>
      <c r="G54">
        <v>0.92683020131560701</v>
      </c>
      <c r="H54">
        <v>4</v>
      </c>
      <c r="I54">
        <v>71</v>
      </c>
      <c r="J54" s="1" t="s">
        <v>15</v>
      </c>
      <c r="K54" s="1" t="s">
        <v>17</v>
      </c>
      <c r="L54" t="str" cm="1">
        <f t="array" ref="L54">_xlfn.IFS(B54&gt;-80,"Excellent",B54&gt;-95,"Good",B54&gt;-110,"Fair",  TRUE,"Poor")</f>
        <v>Fair</v>
      </c>
      <c r="M54" s="1" t="str">
        <f t="shared" si="0"/>
        <v>Normal</v>
      </c>
    </row>
    <row r="55" spans="1:13" x14ac:dyDescent="0.3">
      <c r="A55" s="3">
        <v>44617.952627314815</v>
      </c>
      <c r="B55">
        <v>-102.32830312723701</v>
      </c>
      <c r="C55">
        <v>27.268350270112801</v>
      </c>
      <c r="D55">
        <v>1229.17354539344</v>
      </c>
      <c r="E55" s="1" t="s">
        <v>11</v>
      </c>
      <c r="F55">
        <v>10.6469407566175</v>
      </c>
      <c r="G55">
        <v>8.1237818049495907</v>
      </c>
      <c r="H55">
        <v>7</v>
      </c>
      <c r="I55">
        <v>93</v>
      </c>
      <c r="J55" s="1" t="s">
        <v>12</v>
      </c>
      <c r="K55" s="1" t="s">
        <v>17</v>
      </c>
      <c r="L55" t="str" cm="1">
        <f t="array" ref="L55">_xlfn.IFS(B55&gt;-80,"Excellent",B55&gt;-95,"Good",B55&gt;-110,"Fair",  TRUE,"Poor")</f>
        <v>Fair</v>
      </c>
      <c r="M55" s="1" t="str">
        <f t="shared" si="0"/>
        <v>High Loss</v>
      </c>
    </row>
    <row r="56" spans="1:13" x14ac:dyDescent="0.3">
      <c r="A56" s="3">
        <v>44618.435925925929</v>
      </c>
      <c r="B56">
        <v>-59.474517865928</v>
      </c>
      <c r="C56">
        <v>21.862114589011</v>
      </c>
      <c r="D56">
        <v>17.5220782051546</v>
      </c>
      <c r="E56" s="1" t="s">
        <v>16</v>
      </c>
      <c r="F56">
        <v>0.251384042686912</v>
      </c>
      <c r="G56">
        <v>3.51328748093648</v>
      </c>
      <c r="H56">
        <v>7</v>
      </c>
      <c r="I56">
        <v>93</v>
      </c>
      <c r="J56" s="1" t="s">
        <v>15</v>
      </c>
      <c r="K56" s="1" t="s">
        <v>13</v>
      </c>
      <c r="L56" t="str" cm="1">
        <f t="array" ref="L56">_xlfn.IFS(B56&gt;-80,"Excellent",B56&gt;-95,"Good",B56&gt;-110,"Fair",  TRUE,"Poor")</f>
        <v>Excellent</v>
      </c>
      <c r="M56" s="1" t="str">
        <f t="shared" si="0"/>
        <v>Normal</v>
      </c>
    </row>
    <row r="57" spans="1:13" x14ac:dyDescent="0.3">
      <c r="A57" s="3">
        <v>44619.608865740738</v>
      </c>
      <c r="B57">
        <v>-98.849205120906007</v>
      </c>
      <c r="C57">
        <v>29.009157101545899</v>
      </c>
      <c r="D57">
        <v>325.55996000162003</v>
      </c>
      <c r="E57" s="1" t="s">
        <v>14</v>
      </c>
      <c r="F57">
        <v>6.8466135999291096</v>
      </c>
      <c r="G57">
        <v>5.5887835061290403</v>
      </c>
      <c r="H57">
        <v>10</v>
      </c>
      <c r="I57">
        <v>68</v>
      </c>
      <c r="J57" s="1" t="s">
        <v>12</v>
      </c>
      <c r="K57" s="1" t="s">
        <v>17</v>
      </c>
      <c r="L57" t="str" cm="1">
        <f t="array" ref="L57">_xlfn.IFS(B57&gt;-80,"Excellent",B57&gt;-95,"Good",B57&gt;-110,"Fair",  TRUE,"Poor")</f>
        <v>Fair</v>
      </c>
      <c r="M57" s="1" t="str">
        <f t="shared" si="0"/>
        <v>Normal</v>
      </c>
    </row>
    <row r="58" spans="1:13" x14ac:dyDescent="0.3">
      <c r="A58" s="3">
        <v>44620.614930555559</v>
      </c>
      <c r="B58">
        <v>-104.77613166997</v>
      </c>
      <c r="C58">
        <v>25.8191957662725</v>
      </c>
      <c r="D58">
        <v>701.45108807428198</v>
      </c>
      <c r="E58" s="1" t="s">
        <v>18</v>
      </c>
      <c r="F58">
        <v>5.7192000989094902</v>
      </c>
      <c r="G58">
        <v>8.5899092117676705</v>
      </c>
      <c r="H58">
        <v>5</v>
      </c>
      <c r="I58">
        <v>28</v>
      </c>
      <c r="J58" s="1" t="s">
        <v>12</v>
      </c>
      <c r="K58" s="1" t="s">
        <v>13</v>
      </c>
      <c r="L58" t="str" cm="1">
        <f t="array" ref="L58">_xlfn.IFS(B58&gt;-80,"Excellent",B58&gt;-95,"Good",B58&gt;-110,"Fair",  TRUE,"Poor")</f>
        <v>Fair</v>
      </c>
      <c r="M58" s="1" t="str">
        <f t="shared" si="0"/>
        <v>Normal</v>
      </c>
    </row>
    <row r="59" spans="1:13" x14ac:dyDescent="0.3">
      <c r="A59" s="3">
        <v>44621.688842592594</v>
      </c>
      <c r="B59">
        <v>-60.806165620495499</v>
      </c>
      <c r="C59">
        <v>10.9153248431361</v>
      </c>
      <c r="D59">
        <v>347.16857686498003</v>
      </c>
      <c r="E59" s="1" t="s">
        <v>14</v>
      </c>
      <c r="F59">
        <v>9.5099967866966395</v>
      </c>
      <c r="G59">
        <v>1.1757566864658899</v>
      </c>
      <c r="H59">
        <v>5</v>
      </c>
      <c r="I59">
        <v>89</v>
      </c>
      <c r="J59" s="1" t="s">
        <v>12</v>
      </c>
      <c r="K59" s="1" t="s">
        <v>13</v>
      </c>
      <c r="L59" t="str" cm="1">
        <f t="array" ref="L59">_xlfn.IFS(B59&gt;-80,"Excellent",B59&gt;-95,"Good",B59&gt;-110,"Fair",  TRUE,"Poor")</f>
        <v>Excellent</v>
      </c>
      <c r="M59" s="1" t="str">
        <f t="shared" si="0"/>
        <v>Normal</v>
      </c>
    </row>
    <row r="60" spans="1:13" x14ac:dyDescent="0.3">
      <c r="A60" s="3">
        <v>44622.752615740741</v>
      </c>
      <c r="B60">
        <v>-88.722158616289306</v>
      </c>
      <c r="C60">
        <v>17.9538745025102</v>
      </c>
      <c r="D60">
        <v>1776.09491983937</v>
      </c>
      <c r="E60" s="1" t="s">
        <v>11</v>
      </c>
      <c r="F60">
        <v>9.0300055455578399</v>
      </c>
      <c r="G60">
        <v>9.5953016229223493</v>
      </c>
      <c r="H60">
        <v>7</v>
      </c>
      <c r="I60">
        <v>55</v>
      </c>
      <c r="J60" s="1" t="s">
        <v>12</v>
      </c>
      <c r="K60" s="1" t="s">
        <v>17</v>
      </c>
      <c r="L60" t="str" cm="1">
        <f t="array" ref="L60">_xlfn.IFS(B60&gt;-80,"Excellent",B60&gt;-95,"Good",B60&gt;-110,"Fair",  TRUE,"Poor")</f>
        <v>Good</v>
      </c>
      <c r="M60" s="1" t="str">
        <f t="shared" si="0"/>
        <v>Normal</v>
      </c>
    </row>
    <row r="61" spans="1:13" x14ac:dyDescent="0.3">
      <c r="A61" s="3">
        <v>44623.807800925926</v>
      </c>
      <c r="B61">
        <v>-83.727231668493204</v>
      </c>
      <c r="C61">
        <v>21.078569980065001</v>
      </c>
      <c r="D61">
        <v>661.57708128318097</v>
      </c>
      <c r="E61" s="1" t="s">
        <v>18</v>
      </c>
      <c r="F61">
        <v>5.3508085503241896</v>
      </c>
      <c r="G61">
        <v>6.4055686051626397</v>
      </c>
      <c r="H61">
        <v>8</v>
      </c>
      <c r="I61">
        <v>13</v>
      </c>
      <c r="J61" s="1" t="s">
        <v>12</v>
      </c>
      <c r="K61" s="1" t="s">
        <v>17</v>
      </c>
      <c r="L61" t="str" cm="1">
        <f t="array" ref="L61">_xlfn.IFS(B61&gt;-80,"Excellent",B61&gt;-95,"Good",B61&gt;-110,"Fair",  TRUE,"Poor")</f>
        <v>Good</v>
      </c>
      <c r="M61" s="1" t="str">
        <f t="shared" si="0"/>
        <v>Normal</v>
      </c>
    </row>
    <row r="62" spans="1:13" x14ac:dyDescent="0.3">
      <c r="A62" s="3">
        <v>44624.663078703707</v>
      </c>
      <c r="B62">
        <v>-62.020504198666501</v>
      </c>
      <c r="C62">
        <v>10.823249706403301</v>
      </c>
      <c r="D62">
        <v>707.18055730925505</v>
      </c>
      <c r="E62" s="1" t="s">
        <v>14</v>
      </c>
      <c r="F62">
        <v>7.0797090152166398</v>
      </c>
      <c r="G62">
        <v>4.6557297574568004</v>
      </c>
      <c r="H62">
        <v>10</v>
      </c>
      <c r="I62">
        <v>86</v>
      </c>
      <c r="J62" s="1" t="s">
        <v>15</v>
      </c>
      <c r="K62" s="1" t="s">
        <v>13</v>
      </c>
      <c r="L62" t="str" cm="1">
        <f t="array" ref="L62">_xlfn.IFS(B62&gt;-80,"Excellent",B62&gt;-95,"Good",B62&gt;-110,"Fair",  TRUE,"Poor")</f>
        <v>Excellent</v>
      </c>
      <c r="M62" s="1" t="str">
        <f t="shared" si="0"/>
        <v>Normal</v>
      </c>
    </row>
    <row r="63" spans="1:13" x14ac:dyDescent="0.3">
      <c r="A63" s="3">
        <v>44625.906006944446</v>
      </c>
      <c r="B63">
        <v>-88.879303431101704</v>
      </c>
      <c r="C63">
        <v>17.581208931985099</v>
      </c>
      <c r="D63">
        <v>692.23873179435896</v>
      </c>
      <c r="E63" s="1" t="s">
        <v>18</v>
      </c>
      <c r="F63">
        <v>7.8705687495573304</v>
      </c>
      <c r="G63">
        <v>8.6243975709029108</v>
      </c>
      <c r="H63">
        <v>6</v>
      </c>
      <c r="I63">
        <v>85</v>
      </c>
      <c r="J63" s="1" t="s">
        <v>12</v>
      </c>
      <c r="K63" s="1" t="s">
        <v>17</v>
      </c>
      <c r="L63" t="str" cm="1">
        <f t="array" ref="L63">_xlfn.IFS(B63&gt;-80,"Excellent",B63&gt;-95,"Good",B63&gt;-110,"Fair",  TRUE,"Poor")</f>
        <v>Good</v>
      </c>
      <c r="M63" s="1" t="str">
        <f t="shared" si="0"/>
        <v>Normal</v>
      </c>
    </row>
    <row r="64" spans="1:13" x14ac:dyDescent="0.3">
      <c r="A64" s="3">
        <v>44626.485381944447</v>
      </c>
      <c r="B64">
        <v>-69.038675078788003</v>
      </c>
      <c r="C64">
        <v>16.586848378051201</v>
      </c>
      <c r="D64">
        <v>1059.89791910896</v>
      </c>
      <c r="E64" s="1" t="s">
        <v>18</v>
      </c>
      <c r="F64">
        <v>4.6231260257036002</v>
      </c>
      <c r="G64">
        <v>4.5314941885670397</v>
      </c>
      <c r="H64">
        <v>6</v>
      </c>
      <c r="I64">
        <v>75</v>
      </c>
      <c r="J64" s="1" t="s">
        <v>15</v>
      </c>
      <c r="K64" s="1" t="s">
        <v>13</v>
      </c>
      <c r="L64" t="str" cm="1">
        <f t="array" ref="L64">_xlfn.IFS(B64&gt;-80,"Excellent",B64&gt;-95,"Good",B64&gt;-110,"Fair",  TRUE,"Poor")</f>
        <v>Excellent</v>
      </c>
      <c r="M64" s="1" t="str">
        <f t="shared" si="0"/>
        <v>Normal</v>
      </c>
    </row>
    <row r="65" spans="1:13" x14ac:dyDescent="0.3">
      <c r="A65" s="3">
        <v>44627.439236111109</v>
      </c>
      <c r="B65">
        <v>-92.964027415951406</v>
      </c>
      <c r="C65">
        <v>20.327047269259801</v>
      </c>
      <c r="D65">
        <v>502.69690332129397</v>
      </c>
      <c r="E65" s="1" t="s">
        <v>14</v>
      </c>
      <c r="F65">
        <v>2.1355330196813598</v>
      </c>
      <c r="G65">
        <v>4.2461369114826004</v>
      </c>
      <c r="H65">
        <v>6</v>
      </c>
      <c r="I65">
        <v>79</v>
      </c>
      <c r="J65" s="1" t="s">
        <v>15</v>
      </c>
      <c r="K65" s="1" t="s">
        <v>13</v>
      </c>
      <c r="L65" t="str" cm="1">
        <f t="array" ref="L65">_xlfn.IFS(B65&gt;-80,"Excellent",B65&gt;-95,"Good",B65&gt;-110,"Fair",  TRUE,"Poor")</f>
        <v>Good</v>
      </c>
      <c r="M65" s="1" t="str">
        <f t="shared" si="0"/>
        <v>Normal</v>
      </c>
    </row>
    <row r="66" spans="1:13" x14ac:dyDescent="0.3">
      <c r="A66" s="3">
        <v>44628.606435185182</v>
      </c>
      <c r="B66">
        <v>-100.57761893232799</v>
      </c>
      <c r="C66">
        <v>19.547174090574298</v>
      </c>
      <c r="D66">
        <v>535.99164306248997</v>
      </c>
      <c r="E66" s="1" t="s">
        <v>11</v>
      </c>
      <c r="F66">
        <v>7.8986501655741002</v>
      </c>
      <c r="G66">
        <v>4.0278417925441898</v>
      </c>
      <c r="H66">
        <v>5</v>
      </c>
      <c r="I66">
        <v>35</v>
      </c>
      <c r="J66" s="1" t="s">
        <v>15</v>
      </c>
      <c r="K66" s="1" t="s">
        <v>13</v>
      </c>
      <c r="L66" t="str" cm="1">
        <f t="array" ref="L66">_xlfn.IFS(B66&gt;-80,"Excellent",B66&gt;-95,"Good",B66&gt;-110,"Fair",  TRUE,"Poor")</f>
        <v>Fair</v>
      </c>
      <c r="M66" s="1" t="str">
        <f t="shared" si="0"/>
        <v>Normal</v>
      </c>
    </row>
    <row r="67" spans="1:13" x14ac:dyDescent="0.3">
      <c r="A67" s="3">
        <v>44629.890520833331</v>
      </c>
      <c r="B67">
        <v>-99.297041673326902</v>
      </c>
      <c r="C67">
        <v>14.378146839543801</v>
      </c>
      <c r="D67">
        <v>685.468257260531</v>
      </c>
      <c r="E67" s="1" t="s">
        <v>16</v>
      </c>
      <c r="F67">
        <v>0.117904032905948</v>
      </c>
      <c r="G67">
        <v>1.9804259464751499</v>
      </c>
      <c r="H67">
        <v>4</v>
      </c>
      <c r="I67">
        <v>55</v>
      </c>
      <c r="J67" s="1" t="s">
        <v>12</v>
      </c>
      <c r="K67" s="1" t="s">
        <v>13</v>
      </c>
      <c r="L67" t="str" cm="1">
        <f t="array" ref="L67">_xlfn.IFS(B67&gt;-80,"Excellent",B67&gt;-95,"Good",B67&gt;-110,"Fair",  TRUE,"Poor")</f>
        <v>Fair</v>
      </c>
      <c r="M67" s="1" t="str">
        <f t="shared" ref="M67:M130" si="1">IF(F67&gt;10,"High Loss","Normal")</f>
        <v>Normal</v>
      </c>
    </row>
    <row r="68" spans="1:13" x14ac:dyDescent="0.3">
      <c r="A68" s="3">
        <v>44630.97016203704</v>
      </c>
      <c r="B68">
        <v>-97.260725992243906</v>
      </c>
      <c r="C68">
        <v>11.688332196953599</v>
      </c>
      <c r="D68">
        <v>1116.7430736629201</v>
      </c>
      <c r="E68" s="1" t="s">
        <v>18</v>
      </c>
      <c r="F68">
        <v>3.9553849523384201</v>
      </c>
      <c r="G68">
        <v>8.4389620500070404</v>
      </c>
      <c r="H68">
        <v>1</v>
      </c>
      <c r="I68">
        <v>42</v>
      </c>
      <c r="J68" s="1" t="s">
        <v>15</v>
      </c>
      <c r="K68" s="1" t="s">
        <v>17</v>
      </c>
      <c r="L68" t="str" cm="1">
        <f t="array" ref="L68">_xlfn.IFS(B68&gt;-80,"Excellent",B68&gt;-95,"Good",B68&gt;-110,"Fair",  TRUE,"Poor")</f>
        <v>Fair</v>
      </c>
      <c r="M68" s="1" t="str">
        <f t="shared" si="1"/>
        <v>Normal</v>
      </c>
    </row>
    <row r="69" spans="1:13" x14ac:dyDescent="0.3">
      <c r="A69" s="3">
        <v>44631.64303240741</v>
      </c>
      <c r="B69">
        <v>-93.001808677434497</v>
      </c>
      <c r="C69">
        <v>22.0127234999633</v>
      </c>
      <c r="D69">
        <v>1105.4184630856601</v>
      </c>
      <c r="E69" s="1" t="s">
        <v>14</v>
      </c>
      <c r="F69">
        <v>3.51800630436873</v>
      </c>
      <c r="G69">
        <v>7.8275263525845604</v>
      </c>
      <c r="H69">
        <v>7</v>
      </c>
      <c r="I69">
        <v>2</v>
      </c>
      <c r="J69" s="1" t="s">
        <v>12</v>
      </c>
      <c r="K69" s="1" t="s">
        <v>13</v>
      </c>
      <c r="L69" t="str" cm="1">
        <f t="array" ref="L69">_xlfn.IFS(B69&gt;-80,"Excellent",B69&gt;-95,"Good",B69&gt;-110,"Fair",  TRUE,"Poor")</f>
        <v>Good</v>
      </c>
      <c r="M69" s="1" t="str">
        <f t="shared" si="1"/>
        <v>Normal</v>
      </c>
    </row>
    <row r="70" spans="1:13" x14ac:dyDescent="0.3">
      <c r="A70" s="3">
        <v>44632.804097222222</v>
      </c>
      <c r="B70">
        <v>-69.387736018650799</v>
      </c>
      <c r="C70">
        <v>23.001914056781199</v>
      </c>
      <c r="D70">
        <v>257.13347100732398</v>
      </c>
      <c r="E70" s="1" t="s">
        <v>16</v>
      </c>
      <c r="F70">
        <v>4.6057070632743899</v>
      </c>
      <c r="G70">
        <v>0.48514002967367298</v>
      </c>
      <c r="H70">
        <v>6</v>
      </c>
      <c r="I70">
        <v>54</v>
      </c>
      <c r="J70" s="1" t="s">
        <v>12</v>
      </c>
      <c r="K70" s="1" t="s">
        <v>13</v>
      </c>
      <c r="L70" t="str" cm="1">
        <f t="array" ref="L70">_xlfn.IFS(B70&gt;-80,"Excellent",B70&gt;-95,"Good",B70&gt;-110,"Fair",  TRUE,"Poor")</f>
        <v>Excellent</v>
      </c>
      <c r="M70" s="1" t="str">
        <f t="shared" si="1"/>
        <v>Normal</v>
      </c>
    </row>
    <row r="71" spans="1:13" x14ac:dyDescent="0.3">
      <c r="A71" s="3">
        <v>44633.919641203705</v>
      </c>
      <c r="B71">
        <v>-82.622762029967205</v>
      </c>
      <c r="C71">
        <v>19.866866226307401</v>
      </c>
      <c r="D71">
        <v>1142.4170681195999</v>
      </c>
      <c r="E71" s="1" t="s">
        <v>18</v>
      </c>
      <c r="F71">
        <v>3.97846303847014</v>
      </c>
      <c r="G71">
        <v>6.9588261137361496</v>
      </c>
      <c r="H71">
        <v>2</v>
      </c>
      <c r="I71">
        <v>62</v>
      </c>
      <c r="J71" s="1" t="s">
        <v>15</v>
      </c>
      <c r="K71" s="1" t="s">
        <v>13</v>
      </c>
      <c r="L71" t="str" cm="1">
        <f t="array" ref="L71">_xlfn.IFS(B71&gt;-80,"Excellent",B71&gt;-95,"Good",B71&gt;-110,"Fair",  TRUE,"Poor")</f>
        <v>Good</v>
      </c>
      <c r="M71" s="1" t="str">
        <f t="shared" si="1"/>
        <v>Normal</v>
      </c>
    </row>
    <row r="72" spans="1:13" x14ac:dyDescent="0.3">
      <c r="A72" s="3">
        <v>44634.780277777776</v>
      </c>
      <c r="B72">
        <v>-91.539538792768695</v>
      </c>
      <c r="C72">
        <v>23.828536979876699</v>
      </c>
      <c r="D72">
        <v>940.72493402504995</v>
      </c>
      <c r="E72" s="1" t="s">
        <v>16</v>
      </c>
      <c r="F72">
        <v>0.87106488449892905</v>
      </c>
      <c r="G72">
        <v>2.6374590815460001E-2</v>
      </c>
      <c r="H72">
        <v>4</v>
      </c>
      <c r="I72">
        <v>72</v>
      </c>
      <c r="J72" s="1" t="s">
        <v>12</v>
      </c>
      <c r="K72" s="1" t="s">
        <v>13</v>
      </c>
      <c r="L72" t="str" cm="1">
        <f t="array" ref="L72">_xlfn.IFS(B72&gt;-80,"Excellent",B72&gt;-95,"Good",B72&gt;-110,"Fair",  TRUE,"Poor")</f>
        <v>Good</v>
      </c>
      <c r="M72" s="1" t="str">
        <f t="shared" si="1"/>
        <v>Normal</v>
      </c>
    </row>
    <row r="73" spans="1:13" x14ac:dyDescent="0.3">
      <c r="A73" s="3">
        <v>44635.46429398148</v>
      </c>
      <c r="B73">
        <v>-88.640953946518593</v>
      </c>
      <c r="C73">
        <v>17.013463617151402</v>
      </c>
      <c r="D73">
        <v>655.33854799581297</v>
      </c>
      <c r="E73" s="1" t="s">
        <v>11</v>
      </c>
      <c r="F73">
        <v>13.7355783217659</v>
      </c>
      <c r="G73">
        <v>1.0461685089250401</v>
      </c>
      <c r="H73">
        <v>8</v>
      </c>
      <c r="I73">
        <v>78</v>
      </c>
      <c r="J73" s="1" t="s">
        <v>12</v>
      </c>
      <c r="K73" s="1" t="s">
        <v>17</v>
      </c>
      <c r="L73" t="str" cm="1">
        <f t="array" ref="L73">_xlfn.IFS(B73&gt;-80,"Excellent",B73&gt;-95,"Good",B73&gt;-110,"Fair",  TRUE,"Poor")</f>
        <v>Good</v>
      </c>
      <c r="M73" s="1" t="str">
        <f t="shared" si="1"/>
        <v>High Loss</v>
      </c>
    </row>
    <row r="74" spans="1:13" x14ac:dyDescent="0.3">
      <c r="A74" s="3">
        <v>44636.442986111113</v>
      </c>
      <c r="B74">
        <v>-92.457498681069794</v>
      </c>
      <c r="C74">
        <v>12.6712261495835</v>
      </c>
      <c r="D74">
        <v>892.02207604363696</v>
      </c>
      <c r="E74" s="1" t="s">
        <v>11</v>
      </c>
      <c r="F74">
        <v>11.1931024249847</v>
      </c>
      <c r="G74">
        <v>8.83793661794709</v>
      </c>
      <c r="H74">
        <v>2</v>
      </c>
      <c r="I74">
        <v>98</v>
      </c>
      <c r="J74" s="1" t="s">
        <v>12</v>
      </c>
      <c r="K74" s="1" t="s">
        <v>13</v>
      </c>
      <c r="L74" t="str" cm="1">
        <f t="array" ref="L74">_xlfn.IFS(B74&gt;-80,"Excellent",B74&gt;-95,"Good",B74&gt;-110,"Fair",  TRUE,"Poor")</f>
        <v>Good</v>
      </c>
      <c r="M74" s="1" t="str">
        <f t="shared" si="1"/>
        <v>High Loss</v>
      </c>
    </row>
    <row r="75" spans="1:13" x14ac:dyDescent="0.3">
      <c r="A75" s="3">
        <v>44637.589259259257</v>
      </c>
      <c r="B75">
        <v>-71.929835013830598</v>
      </c>
      <c r="C75">
        <v>21.466823084059602</v>
      </c>
      <c r="D75">
        <v>1517.5707759234799</v>
      </c>
      <c r="E75" s="1" t="s">
        <v>14</v>
      </c>
      <c r="F75">
        <v>7.0388392708936598E-2</v>
      </c>
      <c r="G75">
        <v>7.1853337176457597</v>
      </c>
      <c r="H75">
        <v>8</v>
      </c>
      <c r="I75">
        <v>78</v>
      </c>
      <c r="J75" s="1" t="s">
        <v>12</v>
      </c>
      <c r="K75" s="1" t="s">
        <v>17</v>
      </c>
      <c r="L75" t="str" cm="1">
        <f t="array" ref="L75">_xlfn.IFS(B75&gt;-80,"Excellent",B75&gt;-95,"Good",B75&gt;-110,"Fair",  TRUE,"Poor")</f>
        <v>Excellent</v>
      </c>
      <c r="M75" s="1" t="str">
        <f t="shared" si="1"/>
        <v>Normal</v>
      </c>
    </row>
    <row r="76" spans="1:13" x14ac:dyDescent="0.3">
      <c r="A76" s="3">
        <v>44638.412627314814</v>
      </c>
      <c r="B76">
        <v>-86.539831732868095</v>
      </c>
      <c r="C76">
        <v>17.692693360231701</v>
      </c>
      <c r="D76">
        <v>557.17631184375705</v>
      </c>
      <c r="E76" s="1" t="s">
        <v>14</v>
      </c>
      <c r="F76">
        <v>5.4231289721551397</v>
      </c>
      <c r="G76">
        <v>3.7609749419000802</v>
      </c>
      <c r="H76">
        <v>3</v>
      </c>
      <c r="I76">
        <v>81</v>
      </c>
      <c r="J76" s="1" t="s">
        <v>12</v>
      </c>
      <c r="K76" s="1" t="s">
        <v>13</v>
      </c>
      <c r="L76" t="str" cm="1">
        <f t="array" ref="L76">_xlfn.IFS(B76&gt;-80,"Excellent",B76&gt;-95,"Good",B76&gt;-110,"Fair",  TRUE,"Poor")</f>
        <v>Good</v>
      </c>
      <c r="M76" s="1" t="str">
        <f t="shared" si="1"/>
        <v>Normal</v>
      </c>
    </row>
    <row r="77" spans="1:13" x14ac:dyDescent="0.3">
      <c r="A77" s="3">
        <v>44639.870104166665</v>
      </c>
      <c r="B77">
        <v>-107.757300211494</v>
      </c>
      <c r="C77">
        <v>21.380414043647299</v>
      </c>
      <c r="D77">
        <v>1763.06569186516</v>
      </c>
      <c r="E77" s="1" t="s">
        <v>11</v>
      </c>
      <c r="F77">
        <v>10.679573945416299</v>
      </c>
      <c r="G77">
        <v>6.0810708530528501</v>
      </c>
      <c r="H77">
        <v>3</v>
      </c>
      <c r="I77">
        <v>28</v>
      </c>
      <c r="J77" s="1" t="s">
        <v>12</v>
      </c>
      <c r="K77" s="1" t="s">
        <v>13</v>
      </c>
      <c r="L77" t="str" cm="1">
        <f t="array" ref="L77">_xlfn.IFS(B77&gt;-80,"Excellent",B77&gt;-95,"Good",B77&gt;-110,"Fair",  TRUE,"Poor")</f>
        <v>Fair</v>
      </c>
      <c r="M77" s="1" t="str">
        <f t="shared" si="1"/>
        <v>High Loss</v>
      </c>
    </row>
    <row r="78" spans="1:13" x14ac:dyDescent="0.3">
      <c r="A78" s="3">
        <v>44640.907893518517</v>
      </c>
      <c r="B78">
        <v>-97.619228448861193</v>
      </c>
      <c r="C78">
        <v>19.192166262772901</v>
      </c>
      <c r="D78">
        <v>465.30723325788398</v>
      </c>
      <c r="E78" s="1" t="s">
        <v>14</v>
      </c>
      <c r="F78">
        <v>4.4341109299522099</v>
      </c>
      <c r="G78">
        <v>4.6746545260612802</v>
      </c>
      <c r="H78">
        <v>6</v>
      </c>
      <c r="I78">
        <v>64</v>
      </c>
      <c r="J78" s="1" t="s">
        <v>15</v>
      </c>
      <c r="K78" s="1" t="s">
        <v>13</v>
      </c>
      <c r="L78" t="str" cm="1">
        <f t="array" ref="L78">_xlfn.IFS(B78&gt;-80,"Excellent",B78&gt;-95,"Good",B78&gt;-110,"Fair",  TRUE,"Poor")</f>
        <v>Fair</v>
      </c>
      <c r="M78" s="1" t="str">
        <f t="shared" si="1"/>
        <v>Normal</v>
      </c>
    </row>
    <row r="79" spans="1:13" x14ac:dyDescent="0.3">
      <c r="A79" s="3">
        <v>44641.490960648145</v>
      </c>
      <c r="B79">
        <v>-104.138485486658</v>
      </c>
      <c r="C79">
        <v>21.4042825795519</v>
      </c>
      <c r="D79">
        <v>1297.6040106768701</v>
      </c>
      <c r="E79" s="1" t="s">
        <v>18</v>
      </c>
      <c r="F79">
        <v>7.1357528105423604</v>
      </c>
      <c r="G79">
        <v>6.67371126163449</v>
      </c>
      <c r="H79">
        <v>6</v>
      </c>
      <c r="I79">
        <v>36</v>
      </c>
      <c r="J79" s="1" t="s">
        <v>15</v>
      </c>
      <c r="K79" s="1" t="s">
        <v>13</v>
      </c>
      <c r="L79" t="str" cm="1">
        <f t="array" ref="L79">_xlfn.IFS(B79&gt;-80,"Excellent",B79&gt;-95,"Good",B79&gt;-110,"Fair",  TRUE,"Poor")</f>
        <v>Fair</v>
      </c>
      <c r="M79" s="1" t="str">
        <f t="shared" si="1"/>
        <v>Normal</v>
      </c>
    </row>
    <row r="80" spans="1:13" x14ac:dyDescent="0.3">
      <c r="A80" s="3">
        <v>44642.961284722223</v>
      </c>
      <c r="B80">
        <v>-81.374547392828305</v>
      </c>
      <c r="C80">
        <v>19.584328384380299</v>
      </c>
      <c r="D80">
        <v>1164.2132402073801</v>
      </c>
      <c r="E80" s="1" t="s">
        <v>14</v>
      </c>
      <c r="F80">
        <v>1.7433921403402599</v>
      </c>
      <c r="G80">
        <v>8.0783402988243402</v>
      </c>
      <c r="H80">
        <v>2</v>
      </c>
      <c r="I80">
        <v>28</v>
      </c>
      <c r="J80" s="1" t="s">
        <v>15</v>
      </c>
      <c r="K80" s="1" t="s">
        <v>13</v>
      </c>
      <c r="L80" t="str" cm="1">
        <f t="array" ref="L80">_xlfn.IFS(B80&gt;-80,"Excellent",B80&gt;-95,"Good",B80&gt;-110,"Fair",  TRUE,"Poor")</f>
        <v>Good</v>
      </c>
      <c r="M80" s="1" t="str">
        <f t="shared" si="1"/>
        <v>Normal</v>
      </c>
    </row>
    <row r="81" spans="1:13" x14ac:dyDescent="0.3">
      <c r="A81" s="3">
        <v>44643.390277777777</v>
      </c>
      <c r="B81">
        <v>-65.733584286847901</v>
      </c>
      <c r="C81">
        <v>22.826935875764899</v>
      </c>
      <c r="D81">
        <v>1289.07619490241</v>
      </c>
      <c r="E81" s="1" t="s">
        <v>16</v>
      </c>
      <c r="F81">
        <v>4.3485787519193497</v>
      </c>
      <c r="G81">
        <v>4.2881559722820697</v>
      </c>
      <c r="H81">
        <v>7</v>
      </c>
      <c r="I81">
        <v>3</v>
      </c>
      <c r="J81" s="1" t="s">
        <v>12</v>
      </c>
      <c r="K81" s="1" t="s">
        <v>17</v>
      </c>
      <c r="L81" t="str" cm="1">
        <f t="array" ref="L81">_xlfn.IFS(B81&gt;-80,"Excellent",B81&gt;-95,"Good",B81&gt;-110,"Fair",  TRUE,"Poor")</f>
        <v>Excellent</v>
      </c>
      <c r="M81" s="1" t="str">
        <f t="shared" si="1"/>
        <v>Normal</v>
      </c>
    </row>
    <row r="82" spans="1:13" x14ac:dyDescent="0.3">
      <c r="A82" s="3">
        <v>44644.673668981479</v>
      </c>
      <c r="B82">
        <v>-81.339853904121995</v>
      </c>
      <c r="C82">
        <v>24.592112642173198</v>
      </c>
      <c r="D82">
        <v>337.78536409144198</v>
      </c>
      <c r="E82" s="1" t="s">
        <v>11</v>
      </c>
      <c r="F82">
        <v>9.5312110710481495</v>
      </c>
      <c r="G82">
        <v>3.47684780949796</v>
      </c>
      <c r="H82">
        <v>5</v>
      </c>
      <c r="I82">
        <v>65</v>
      </c>
      <c r="J82" s="1" t="s">
        <v>15</v>
      </c>
      <c r="K82" s="1" t="s">
        <v>13</v>
      </c>
      <c r="L82" t="str" cm="1">
        <f t="array" ref="L82">_xlfn.IFS(B82&gt;-80,"Excellent",B82&gt;-95,"Good",B82&gt;-110,"Fair",  TRUE,"Poor")</f>
        <v>Good</v>
      </c>
      <c r="M82" s="1" t="str">
        <f t="shared" si="1"/>
        <v>Normal</v>
      </c>
    </row>
    <row r="83" spans="1:13" x14ac:dyDescent="0.3">
      <c r="A83" s="3">
        <v>44645.43273148148</v>
      </c>
      <c r="B83">
        <v>-82.6314361335358</v>
      </c>
      <c r="C83">
        <v>22.514611271366199</v>
      </c>
      <c r="D83">
        <v>285.40593592318203</v>
      </c>
      <c r="E83" s="1" t="s">
        <v>14</v>
      </c>
      <c r="F83">
        <v>0.50206215178933999</v>
      </c>
      <c r="G83">
        <v>4.8079636756401296</v>
      </c>
      <c r="H83">
        <v>5</v>
      </c>
      <c r="I83">
        <v>74</v>
      </c>
      <c r="J83" s="1" t="s">
        <v>12</v>
      </c>
      <c r="K83" s="1" t="s">
        <v>17</v>
      </c>
      <c r="L83" t="str" cm="1">
        <f t="array" ref="L83">_xlfn.IFS(B83&gt;-80,"Excellent",B83&gt;-95,"Good",B83&gt;-110,"Fair",  TRUE,"Poor")</f>
        <v>Good</v>
      </c>
      <c r="M83" s="1" t="str">
        <f t="shared" si="1"/>
        <v>Normal</v>
      </c>
    </row>
    <row r="84" spans="1:13" x14ac:dyDescent="0.3">
      <c r="A84" s="3">
        <v>44646.823495370372</v>
      </c>
      <c r="B84">
        <v>-74.792180402227601</v>
      </c>
      <c r="C84">
        <v>21.8200139683244</v>
      </c>
      <c r="D84">
        <v>1610.6360363961201</v>
      </c>
      <c r="E84" s="1" t="s">
        <v>14</v>
      </c>
      <c r="F84">
        <v>9.2051877341402708</v>
      </c>
      <c r="G84">
        <v>0.83333938553050702</v>
      </c>
      <c r="H84">
        <v>2</v>
      </c>
      <c r="I84">
        <v>24</v>
      </c>
      <c r="J84" s="1" t="s">
        <v>12</v>
      </c>
      <c r="K84" s="1" t="s">
        <v>17</v>
      </c>
      <c r="L84" t="str" cm="1">
        <f t="array" ref="L84">_xlfn.IFS(B84&gt;-80,"Excellent",B84&gt;-95,"Good",B84&gt;-110,"Fair",  TRUE,"Poor")</f>
        <v>Excellent</v>
      </c>
      <c r="M84" s="1" t="str">
        <f t="shared" si="1"/>
        <v>Normal</v>
      </c>
    </row>
    <row r="85" spans="1:13" x14ac:dyDescent="0.3">
      <c r="A85" s="3">
        <v>44647.759143518517</v>
      </c>
      <c r="B85">
        <v>-82.601217722390203</v>
      </c>
      <c r="C85">
        <v>11.8513449547309</v>
      </c>
      <c r="D85">
        <v>262.63550544459503</v>
      </c>
      <c r="E85" s="1" t="s">
        <v>16</v>
      </c>
      <c r="F85">
        <v>1.67383589739002</v>
      </c>
      <c r="G85">
        <v>3.0554406600328199</v>
      </c>
      <c r="H85">
        <v>2</v>
      </c>
      <c r="I85">
        <v>2</v>
      </c>
      <c r="J85" s="1" t="s">
        <v>12</v>
      </c>
      <c r="K85" s="1" t="s">
        <v>17</v>
      </c>
      <c r="L85" t="str" cm="1">
        <f t="array" ref="L85">_xlfn.IFS(B85&gt;-80,"Excellent",B85&gt;-95,"Good",B85&gt;-110,"Fair",  TRUE,"Poor")</f>
        <v>Good</v>
      </c>
      <c r="M85" s="1" t="str">
        <f t="shared" si="1"/>
        <v>Normal</v>
      </c>
    </row>
    <row r="86" spans="1:13" x14ac:dyDescent="0.3">
      <c r="A86" s="3">
        <v>44648.565717592595</v>
      </c>
      <c r="B86">
        <v>-93.133901221280297</v>
      </c>
      <c r="C86">
        <v>15.9499003177758</v>
      </c>
      <c r="D86">
        <v>165.71090922690999</v>
      </c>
      <c r="E86" s="1" t="s">
        <v>11</v>
      </c>
      <c r="F86">
        <v>8.3267428593458508</v>
      </c>
      <c r="G86">
        <v>6.5190619273040999</v>
      </c>
      <c r="H86">
        <v>8</v>
      </c>
      <c r="I86">
        <v>31</v>
      </c>
      <c r="J86" s="1" t="s">
        <v>15</v>
      </c>
      <c r="K86" s="1" t="s">
        <v>17</v>
      </c>
      <c r="L86" t="str" cm="1">
        <f t="array" ref="L86">_xlfn.IFS(B86&gt;-80,"Excellent",B86&gt;-95,"Good",B86&gt;-110,"Fair",  TRUE,"Poor")</f>
        <v>Good</v>
      </c>
      <c r="M86" s="1" t="str">
        <f t="shared" si="1"/>
        <v>Normal</v>
      </c>
    </row>
    <row r="87" spans="1:13" x14ac:dyDescent="0.3">
      <c r="A87" s="3">
        <v>44649.693009259259</v>
      </c>
      <c r="B87">
        <v>-76.373473338392699</v>
      </c>
      <c r="C87">
        <v>21.777187520198201</v>
      </c>
      <c r="D87">
        <v>40.0936755271143</v>
      </c>
      <c r="E87" s="1" t="s">
        <v>16</v>
      </c>
      <c r="F87">
        <v>4.4468686398732604</v>
      </c>
      <c r="G87">
        <v>5.9844458411567301</v>
      </c>
      <c r="H87">
        <v>8</v>
      </c>
      <c r="I87">
        <v>89</v>
      </c>
      <c r="J87" s="1" t="s">
        <v>12</v>
      </c>
      <c r="K87" s="1" t="s">
        <v>17</v>
      </c>
      <c r="L87" t="str" cm="1">
        <f t="array" ref="L87">_xlfn.IFS(B87&gt;-80,"Excellent",B87&gt;-95,"Good",B87&gt;-110,"Fair",  TRUE,"Poor")</f>
        <v>Excellent</v>
      </c>
      <c r="M87" s="1" t="str">
        <f t="shared" si="1"/>
        <v>Normal</v>
      </c>
    </row>
    <row r="88" spans="1:13" x14ac:dyDescent="0.3">
      <c r="A88" s="3">
        <v>44650.530462962961</v>
      </c>
      <c r="B88">
        <v>-61.225317298416101</v>
      </c>
      <c r="C88">
        <v>20.902030826299399</v>
      </c>
      <c r="D88">
        <v>556.783053633588</v>
      </c>
      <c r="E88" s="1" t="s">
        <v>14</v>
      </c>
      <c r="F88">
        <v>7.1563682798736403</v>
      </c>
      <c r="G88">
        <v>0.52818691352637803</v>
      </c>
      <c r="H88">
        <v>10</v>
      </c>
      <c r="I88">
        <v>57</v>
      </c>
      <c r="J88" s="1" t="s">
        <v>15</v>
      </c>
      <c r="K88" s="1" t="s">
        <v>17</v>
      </c>
      <c r="L88" t="str" cm="1">
        <f t="array" ref="L88">_xlfn.IFS(B88&gt;-80,"Excellent",B88&gt;-95,"Good",B88&gt;-110,"Fair",  TRUE,"Poor")</f>
        <v>Excellent</v>
      </c>
      <c r="M88" s="1" t="str">
        <f t="shared" si="1"/>
        <v>Normal</v>
      </c>
    </row>
    <row r="89" spans="1:13" x14ac:dyDescent="0.3">
      <c r="A89" s="3">
        <v>44651.498668981483</v>
      </c>
      <c r="B89">
        <v>-99.341625622622601</v>
      </c>
      <c r="C89">
        <v>14.182132549729801</v>
      </c>
      <c r="D89">
        <v>707.81860811688796</v>
      </c>
      <c r="E89" s="1" t="s">
        <v>16</v>
      </c>
      <c r="F89">
        <v>3.5890694780927399</v>
      </c>
      <c r="G89">
        <v>8.5042116837455399</v>
      </c>
      <c r="H89">
        <v>7</v>
      </c>
      <c r="I89">
        <v>50</v>
      </c>
      <c r="J89" s="1" t="s">
        <v>15</v>
      </c>
      <c r="K89" s="1" t="s">
        <v>17</v>
      </c>
      <c r="L89" t="str" cm="1">
        <f t="array" ref="L89">_xlfn.IFS(B89&gt;-80,"Excellent",B89&gt;-95,"Good",B89&gt;-110,"Fair",  TRUE,"Poor")</f>
        <v>Fair</v>
      </c>
      <c r="M89" s="1" t="str">
        <f t="shared" si="1"/>
        <v>Normal</v>
      </c>
    </row>
    <row r="90" spans="1:13" x14ac:dyDescent="0.3">
      <c r="A90" s="3">
        <v>44652.398078703707</v>
      </c>
      <c r="B90">
        <v>-101.815438569899</v>
      </c>
      <c r="C90">
        <v>12.3317850945228</v>
      </c>
      <c r="D90">
        <v>110.15712089456299</v>
      </c>
      <c r="E90" s="1" t="s">
        <v>18</v>
      </c>
      <c r="F90">
        <v>2.3874126801220399</v>
      </c>
      <c r="G90">
        <v>7.6109419384930099</v>
      </c>
      <c r="H90">
        <v>10</v>
      </c>
      <c r="I90">
        <v>78</v>
      </c>
      <c r="J90" s="1" t="s">
        <v>12</v>
      </c>
      <c r="K90" s="1" t="s">
        <v>17</v>
      </c>
      <c r="L90" t="str" cm="1">
        <f t="array" ref="L90">_xlfn.IFS(B90&gt;-80,"Excellent",B90&gt;-95,"Good",B90&gt;-110,"Fair",  TRUE,"Poor")</f>
        <v>Fair</v>
      </c>
      <c r="M90" s="1" t="str">
        <f t="shared" si="1"/>
        <v>Normal</v>
      </c>
    </row>
    <row r="91" spans="1:13" x14ac:dyDescent="0.3">
      <c r="A91" s="3">
        <v>44653.794293981482</v>
      </c>
      <c r="B91">
        <v>-60.573040098274198</v>
      </c>
      <c r="C91">
        <v>21.741169351598899</v>
      </c>
      <c r="D91">
        <v>822.95459841002298</v>
      </c>
      <c r="E91" s="1" t="s">
        <v>14</v>
      </c>
      <c r="F91">
        <v>8.0255063651852705</v>
      </c>
      <c r="G91">
        <v>2.4400147379292401</v>
      </c>
      <c r="H91">
        <v>3</v>
      </c>
      <c r="I91">
        <v>81</v>
      </c>
      <c r="J91" s="1" t="s">
        <v>15</v>
      </c>
      <c r="K91" s="1" t="s">
        <v>17</v>
      </c>
      <c r="L91" t="str" cm="1">
        <f t="array" ref="L91">_xlfn.IFS(B91&gt;-80,"Excellent",B91&gt;-95,"Good",B91&gt;-110,"Fair",  TRUE,"Poor")</f>
        <v>Excellent</v>
      </c>
      <c r="M91" s="1" t="str">
        <f t="shared" si="1"/>
        <v>Normal</v>
      </c>
    </row>
    <row r="92" spans="1:13" x14ac:dyDescent="0.3">
      <c r="A92" s="3">
        <v>44654.45103009259</v>
      </c>
      <c r="B92">
        <v>-89.368982412175697</v>
      </c>
      <c r="C92">
        <v>25.999935507300101</v>
      </c>
      <c r="D92">
        <v>854.28098779349205</v>
      </c>
      <c r="E92" s="1" t="s">
        <v>14</v>
      </c>
      <c r="F92">
        <v>6.6735766408862904</v>
      </c>
      <c r="G92">
        <v>7.1304670049349896</v>
      </c>
      <c r="H92">
        <v>5</v>
      </c>
      <c r="I92">
        <v>51</v>
      </c>
      <c r="J92" s="1" t="s">
        <v>12</v>
      </c>
      <c r="K92" s="1" t="s">
        <v>17</v>
      </c>
      <c r="L92" t="str" cm="1">
        <f t="array" ref="L92">_xlfn.IFS(B92&gt;-80,"Excellent",B92&gt;-95,"Good",B92&gt;-110,"Fair",  TRUE,"Poor")</f>
        <v>Good</v>
      </c>
      <c r="M92" s="1" t="str">
        <f t="shared" si="1"/>
        <v>Normal</v>
      </c>
    </row>
    <row r="93" spans="1:13" x14ac:dyDescent="0.3">
      <c r="A93" s="3">
        <v>44655.782638888886</v>
      </c>
      <c r="B93">
        <v>-101.738417210905</v>
      </c>
      <c r="C93">
        <v>29.413417967439599</v>
      </c>
      <c r="D93">
        <v>1193.30551909479</v>
      </c>
      <c r="E93" s="1" t="s">
        <v>11</v>
      </c>
      <c r="F93">
        <v>5.3334813379235904</v>
      </c>
      <c r="G93">
        <v>5.6656378867806696</v>
      </c>
      <c r="H93">
        <v>4</v>
      </c>
      <c r="I93">
        <v>14</v>
      </c>
      <c r="J93" s="1" t="s">
        <v>15</v>
      </c>
      <c r="K93" s="1" t="s">
        <v>17</v>
      </c>
      <c r="L93" t="str" cm="1">
        <f t="array" ref="L93">_xlfn.IFS(B93&gt;-80,"Excellent",B93&gt;-95,"Good",B93&gt;-110,"Fair",  TRUE,"Poor")</f>
        <v>Fair</v>
      </c>
      <c r="M93" s="1" t="str">
        <f t="shared" si="1"/>
        <v>Normal</v>
      </c>
    </row>
    <row r="94" spans="1:13" x14ac:dyDescent="0.3">
      <c r="A94" s="3">
        <v>44656.624837962961</v>
      </c>
      <c r="B94">
        <v>-98.877490543153698</v>
      </c>
      <c r="C94">
        <v>28.212142285440599</v>
      </c>
      <c r="D94">
        <v>235.83937089868701</v>
      </c>
      <c r="E94" s="1" t="s">
        <v>14</v>
      </c>
      <c r="F94">
        <v>5.4780682201720401</v>
      </c>
      <c r="G94">
        <v>0.42904829305072201</v>
      </c>
      <c r="H94">
        <v>10</v>
      </c>
      <c r="I94">
        <v>7</v>
      </c>
      <c r="J94" s="1" t="s">
        <v>15</v>
      </c>
      <c r="K94" s="1" t="s">
        <v>17</v>
      </c>
      <c r="L94" t="str" cm="1">
        <f t="array" ref="L94">_xlfn.IFS(B94&gt;-80,"Excellent",B94&gt;-95,"Good",B94&gt;-110,"Fair",  TRUE,"Poor")</f>
        <v>Fair</v>
      </c>
      <c r="M94" s="1" t="str">
        <f t="shared" si="1"/>
        <v>Normal</v>
      </c>
    </row>
    <row r="95" spans="1:13" x14ac:dyDescent="0.3">
      <c r="A95" s="3">
        <v>44657.936203703706</v>
      </c>
      <c r="B95">
        <v>-101.658053673113</v>
      </c>
      <c r="C95">
        <v>25.8256321161657</v>
      </c>
      <c r="D95">
        <v>364.18341530477898</v>
      </c>
      <c r="E95" s="1" t="s">
        <v>18</v>
      </c>
      <c r="F95">
        <v>2.0042664690743601</v>
      </c>
      <c r="G95">
        <v>5.5762142642137</v>
      </c>
      <c r="H95">
        <v>2</v>
      </c>
      <c r="I95">
        <v>37</v>
      </c>
      <c r="J95" s="1" t="s">
        <v>15</v>
      </c>
      <c r="K95" s="1" t="s">
        <v>13</v>
      </c>
      <c r="L95" t="str" cm="1">
        <f t="array" ref="L95">_xlfn.IFS(B95&gt;-80,"Excellent",B95&gt;-95,"Good",B95&gt;-110,"Fair",  TRUE,"Poor")</f>
        <v>Fair</v>
      </c>
      <c r="M95" s="1" t="str">
        <f t="shared" si="1"/>
        <v>Normal</v>
      </c>
    </row>
    <row r="96" spans="1:13" x14ac:dyDescent="0.3">
      <c r="A96" s="3">
        <v>44658.659687500003</v>
      </c>
      <c r="B96">
        <v>-73.275166199307094</v>
      </c>
      <c r="C96">
        <v>25.700853318683301</v>
      </c>
      <c r="D96">
        <v>1554.7049101002699</v>
      </c>
      <c r="E96" s="1" t="s">
        <v>14</v>
      </c>
      <c r="F96">
        <v>3.90158791737566</v>
      </c>
      <c r="G96">
        <v>4.8632010290302699</v>
      </c>
      <c r="H96">
        <v>3</v>
      </c>
      <c r="I96">
        <v>40</v>
      </c>
      <c r="J96" s="1" t="s">
        <v>12</v>
      </c>
      <c r="K96" s="1" t="s">
        <v>13</v>
      </c>
      <c r="L96" t="str" cm="1">
        <f t="array" ref="L96">_xlfn.IFS(B96&gt;-80,"Excellent",B96&gt;-95,"Good",B96&gt;-110,"Fair",  TRUE,"Poor")</f>
        <v>Excellent</v>
      </c>
      <c r="M96" s="1" t="str">
        <f t="shared" si="1"/>
        <v>Normal</v>
      </c>
    </row>
    <row r="97" spans="1:13" x14ac:dyDescent="0.3">
      <c r="A97" s="3">
        <v>44659.934247685182</v>
      </c>
      <c r="B97">
        <v>-96.827836501310003</v>
      </c>
      <c r="C97">
        <v>26.600636448305298</v>
      </c>
      <c r="D97">
        <v>724.95001482008502</v>
      </c>
      <c r="E97" s="1" t="s">
        <v>18</v>
      </c>
      <c r="F97">
        <v>3.1064403491213501</v>
      </c>
      <c r="G97">
        <v>8.9012311318497801</v>
      </c>
      <c r="H97">
        <v>2</v>
      </c>
      <c r="I97">
        <v>92</v>
      </c>
      <c r="J97" s="1" t="s">
        <v>12</v>
      </c>
      <c r="K97" s="1" t="s">
        <v>17</v>
      </c>
      <c r="L97" t="str" cm="1">
        <f t="array" ref="L97">_xlfn.IFS(B97&gt;-80,"Excellent",B97&gt;-95,"Good",B97&gt;-110,"Fair",  TRUE,"Poor")</f>
        <v>Fair</v>
      </c>
      <c r="M97" s="1" t="str">
        <f t="shared" si="1"/>
        <v>Normal</v>
      </c>
    </row>
    <row r="98" spans="1:13" x14ac:dyDescent="0.3">
      <c r="A98" s="3">
        <v>44660.610300925924</v>
      </c>
      <c r="B98">
        <v>-77.528820264604505</v>
      </c>
      <c r="C98">
        <v>24.400241673822201</v>
      </c>
      <c r="D98">
        <v>1136.8628702368801</v>
      </c>
      <c r="E98" s="1" t="s">
        <v>11</v>
      </c>
      <c r="F98">
        <v>7.1412450402960301</v>
      </c>
      <c r="G98">
        <v>2.14836775999331</v>
      </c>
      <c r="H98">
        <v>2</v>
      </c>
      <c r="I98">
        <v>24</v>
      </c>
      <c r="J98" s="1" t="s">
        <v>12</v>
      </c>
      <c r="K98" s="1" t="s">
        <v>17</v>
      </c>
      <c r="L98" t="str" cm="1">
        <f t="array" ref="L98">_xlfn.IFS(B98&gt;-80,"Excellent",B98&gt;-95,"Good",B98&gt;-110,"Fair",  TRUE,"Poor")</f>
        <v>Excellent</v>
      </c>
      <c r="M98" s="1" t="str">
        <f t="shared" si="1"/>
        <v>Normal</v>
      </c>
    </row>
    <row r="99" spans="1:13" x14ac:dyDescent="0.3">
      <c r="A99" s="3">
        <v>44661.596689814818</v>
      </c>
      <c r="B99">
        <v>-60.736138259707097</v>
      </c>
      <c r="C99">
        <v>14.3214495842775</v>
      </c>
      <c r="D99">
        <v>478.26797634820701</v>
      </c>
      <c r="E99" s="1" t="s">
        <v>16</v>
      </c>
      <c r="F99">
        <v>4.6729351984292196</v>
      </c>
      <c r="G99">
        <v>1.4251760775850399</v>
      </c>
      <c r="H99">
        <v>9</v>
      </c>
      <c r="I99">
        <v>86</v>
      </c>
      <c r="J99" s="1" t="s">
        <v>12</v>
      </c>
      <c r="K99" s="1" t="s">
        <v>13</v>
      </c>
      <c r="L99" t="str" cm="1">
        <f t="array" ref="L99">_xlfn.IFS(B99&gt;-80,"Excellent",B99&gt;-95,"Good",B99&gt;-110,"Fair",  TRUE,"Poor")</f>
        <v>Excellent</v>
      </c>
      <c r="M99" s="1" t="str">
        <f t="shared" si="1"/>
        <v>Normal</v>
      </c>
    </row>
    <row r="100" spans="1:13" x14ac:dyDescent="0.3">
      <c r="A100" s="3">
        <v>44662.436574074076</v>
      </c>
      <c r="B100">
        <v>-98.043378471965298</v>
      </c>
      <c r="C100">
        <v>19.391700203705799</v>
      </c>
      <c r="D100">
        <v>1128.4759075305501</v>
      </c>
      <c r="E100" s="1" t="s">
        <v>18</v>
      </c>
      <c r="F100">
        <v>3.60012533080425</v>
      </c>
      <c r="G100">
        <v>3.70022949382499</v>
      </c>
      <c r="H100">
        <v>9</v>
      </c>
      <c r="I100">
        <v>35</v>
      </c>
      <c r="J100" s="1" t="s">
        <v>15</v>
      </c>
      <c r="K100" s="1" t="s">
        <v>13</v>
      </c>
      <c r="L100" t="str" cm="1">
        <f t="array" ref="L100">_xlfn.IFS(B100&gt;-80,"Excellent",B100&gt;-95,"Good",B100&gt;-110,"Fair",  TRUE,"Poor")</f>
        <v>Fair</v>
      </c>
      <c r="M100" s="1" t="str">
        <f t="shared" si="1"/>
        <v>Normal</v>
      </c>
    </row>
    <row r="101" spans="1:13" x14ac:dyDescent="0.3">
      <c r="A101" s="3">
        <v>44663.502268518518</v>
      </c>
      <c r="B101">
        <v>-95.645111493815094</v>
      </c>
      <c r="C101">
        <v>13.4468848708542</v>
      </c>
      <c r="D101">
        <v>241.08877017416901</v>
      </c>
      <c r="E101" s="1" t="s">
        <v>16</v>
      </c>
      <c r="F101">
        <v>1.6627762037117</v>
      </c>
      <c r="G101">
        <v>8.3532521342016395</v>
      </c>
      <c r="H101">
        <v>10</v>
      </c>
      <c r="I101">
        <v>45</v>
      </c>
      <c r="J101" s="1" t="s">
        <v>15</v>
      </c>
      <c r="K101" s="1" t="s">
        <v>13</v>
      </c>
      <c r="L101" t="str" cm="1">
        <f t="array" ref="L101">_xlfn.IFS(B101&gt;-80,"Excellent",B101&gt;-95,"Good",B101&gt;-110,"Fair",  TRUE,"Poor")</f>
        <v>Fair</v>
      </c>
      <c r="M101" s="1" t="str">
        <f t="shared" si="1"/>
        <v>Normal</v>
      </c>
    </row>
    <row r="102" spans="1:13" x14ac:dyDescent="0.3">
      <c r="A102" s="3">
        <v>44664.727662037039</v>
      </c>
      <c r="B102">
        <v>-84.296509842371506</v>
      </c>
      <c r="C102">
        <v>27.074460751633399</v>
      </c>
      <c r="D102">
        <v>362.100192701335</v>
      </c>
      <c r="E102" s="1" t="s">
        <v>11</v>
      </c>
      <c r="F102">
        <v>6.4527428650885597</v>
      </c>
      <c r="G102">
        <v>5.9039768119854701</v>
      </c>
      <c r="H102">
        <v>5</v>
      </c>
      <c r="I102">
        <v>23</v>
      </c>
      <c r="J102" s="1" t="s">
        <v>12</v>
      </c>
      <c r="K102" s="1" t="s">
        <v>17</v>
      </c>
      <c r="L102" t="str" cm="1">
        <f t="array" ref="L102">_xlfn.IFS(B102&gt;-80,"Excellent",B102&gt;-95,"Good",B102&gt;-110,"Fair",  TRUE,"Poor")</f>
        <v>Good</v>
      </c>
      <c r="M102" s="1" t="str">
        <f t="shared" si="1"/>
        <v>Normal</v>
      </c>
    </row>
    <row r="103" spans="1:13" x14ac:dyDescent="0.3">
      <c r="A103" s="3">
        <v>44665.836469907408</v>
      </c>
      <c r="B103">
        <v>-64.033804785355599</v>
      </c>
      <c r="C103">
        <v>22.906430857467502</v>
      </c>
      <c r="D103">
        <v>1259.9100500849499</v>
      </c>
      <c r="E103" s="1" t="s">
        <v>14</v>
      </c>
      <c r="F103">
        <v>0.30671741366236599</v>
      </c>
      <c r="G103">
        <v>3.6209390708031801</v>
      </c>
      <c r="H103">
        <v>2</v>
      </c>
      <c r="I103">
        <v>88</v>
      </c>
      <c r="J103" s="1" t="s">
        <v>12</v>
      </c>
      <c r="K103" s="1" t="s">
        <v>17</v>
      </c>
      <c r="L103" t="str" cm="1">
        <f t="array" ref="L103">_xlfn.IFS(B103&gt;-80,"Excellent",B103&gt;-95,"Good",B103&gt;-110,"Fair",  TRUE,"Poor")</f>
        <v>Excellent</v>
      </c>
      <c r="M103" s="1" t="str">
        <f t="shared" si="1"/>
        <v>Normal</v>
      </c>
    </row>
    <row r="104" spans="1:13" x14ac:dyDescent="0.3">
      <c r="A104" s="3">
        <v>44666.387152777781</v>
      </c>
      <c r="B104">
        <v>-98.740206282791902</v>
      </c>
      <c r="C104">
        <v>14.7003793457376</v>
      </c>
      <c r="D104">
        <v>608.49255360896495</v>
      </c>
      <c r="E104" s="1" t="s">
        <v>16</v>
      </c>
      <c r="F104">
        <v>0.27737157617477598</v>
      </c>
      <c r="G104">
        <v>5.4445835677469701</v>
      </c>
      <c r="H104">
        <v>4</v>
      </c>
      <c r="I104">
        <v>65</v>
      </c>
      <c r="J104" s="1" t="s">
        <v>12</v>
      </c>
      <c r="K104" s="1" t="s">
        <v>17</v>
      </c>
      <c r="L104" t="str" cm="1">
        <f t="array" ref="L104">_xlfn.IFS(B104&gt;-80,"Excellent",B104&gt;-95,"Good",B104&gt;-110,"Fair",  TRUE,"Poor")</f>
        <v>Fair</v>
      </c>
      <c r="M104" s="1" t="str">
        <f t="shared" si="1"/>
        <v>Normal</v>
      </c>
    </row>
    <row r="105" spans="1:13" x14ac:dyDescent="0.3">
      <c r="A105" s="3">
        <v>44667.417291666665</v>
      </c>
      <c r="B105">
        <v>-57.991548168585197</v>
      </c>
      <c r="C105">
        <v>13.9748999288484</v>
      </c>
      <c r="D105">
        <v>1639.7686683859799</v>
      </c>
      <c r="E105" s="1" t="s">
        <v>16</v>
      </c>
      <c r="F105">
        <v>3.1229597663466802</v>
      </c>
      <c r="G105">
        <v>6.7499665686333596</v>
      </c>
      <c r="H105">
        <v>3</v>
      </c>
      <c r="I105">
        <v>1</v>
      </c>
      <c r="J105" s="1" t="s">
        <v>12</v>
      </c>
      <c r="K105" s="1" t="s">
        <v>13</v>
      </c>
      <c r="L105" t="str" cm="1">
        <f t="array" ref="L105">_xlfn.IFS(B105&gt;-80,"Excellent",B105&gt;-95,"Good",B105&gt;-110,"Fair",  TRUE,"Poor")</f>
        <v>Excellent</v>
      </c>
      <c r="M105" s="1" t="str">
        <f t="shared" si="1"/>
        <v>Normal</v>
      </c>
    </row>
    <row r="106" spans="1:13" x14ac:dyDescent="0.3">
      <c r="A106" s="3">
        <v>44668.966574074075</v>
      </c>
      <c r="B106">
        <v>-76.736592855279696</v>
      </c>
      <c r="C106">
        <v>23.144619862292799</v>
      </c>
      <c r="D106">
        <v>919.43341419972</v>
      </c>
      <c r="E106" s="1" t="s">
        <v>18</v>
      </c>
      <c r="F106">
        <v>6.7509543293572198</v>
      </c>
      <c r="G106">
        <v>8.7557138576881997</v>
      </c>
      <c r="H106">
        <v>5</v>
      </c>
      <c r="I106">
        <v>99</v>
      </c>
      <c r="J106" s="1" t="s">
        <v>12</v>
      </c>
      <c r="K106" s="1" t="s">
        <v>13</v>
      </c>
      <c r="L106" t="str" cm="1">
        <f t="array" ref="L106">_xlfn.IFS(B106&gt;-80,"Excellent",B106&gt;-95,"Good",B106&gt;-110,"Fair",  TRUE,"Poor")</f>
        <v>Excellent</v>
      </c>
      <c r="M106" s="1" t="str">
        <f t="shared" si="1"/>
        <v>Normal</v>
      </c>
    </row>
    <row r="107" spans="1:13" x14ac:dyDescent="0.3">
      <c r="A107" s="3">
        <v>44669.835543981484</v>
      </c>
      <c r="B107">
        <v>-69.652376647191005</v>
      </c>
      <c r="C107">
        <v>27.3477074254304</v>
      </c>
      <c r="D107">
        <v>1759.8345699979</v>
      </c>
      <c r="E107" s="1" t="s">
        <v>14</v>
      </c>
      <c r="F107">
        <v>6.4825406652422801</v>
      </c>
      <c r="G107">
        <v>2.9545349520959401</v>
      </c>
      <c r="H107">
        <v>7</v>
      </c>
      <c r="I107">
        <v>38</v>
      </c>
      <c r="J107" s="1" t="s">
        <v>12</v>
      </c>
      <c r="K107" s="1" t="s">
        <v>13</v>
      </c>
      <c r="L107" t="str" cm="1">
        <f t="array" ref="L107">_xlfn.IFS(B107&gt;-80,"Excellent",B107&gt;-95,"Good",B107&gt;-110,"Fair",  TRUE,"Poor")</f>
        <v>Excellent</v>
      </c>
      <c r="M107" s="1" t="str">
        <f t="shared" si="1"/>
        <v>Normal</v>
      </c>
    </row>
    <row r="108" spans="1:13" x14ac:dyDescent="0.3">
      <c r="A108" s="3">
        <v>44670.818981481483</v>
      </c>
      <c r="B108">
        <v>-111.569018822751</v>
      </c>
      <c r="C108">
        <v>16.556455225124299</v>
      </c>
      <c r="D108">
        <v>522.40173208927001</v>
      </c>
      <c r="E108" s="1" t="s">
        <v>16</v>
      </c>
      <c r="F108">
        <v>3.1313725599229798</v>
      </c>
      <c r="G108">
        <v>0.51607180513996198</v>
      </c>
      <c r="H108">
        <v>5</v>
      </c>
      <c r="I108">
        <v>10</v>
      </c>
      <c r="J108" s="1" t="s">
        <v>15</v>
      </c>
      <c r="K108" s="1" t="s">
        <v>13</v>
      </c>
      <c r="L108" t="str" cm="1">
        <f t="array" ref="L108">_xlfn.IFS(B108&gt;-80,"Excellent",B108&gt;-95,"Good",B108&gt;-110,"Fair",  TRUE,"Poor")</f>
        <v>Poor</v>
      </c>
      <c r="M108" s="1" t="str">
        <f t="shared" si="1"/>
        <v>Normal</v>
      </c>
    </row>
    <row r="109" spans="1:13" x14ac:dyDescent="0.3">
      <c r="A109" s="3">
        <v>44671.767696759256</v>
      </c>
      <c r="B109">
        <v>-79.680165957077406</v>
      </c>
      <c r="C109">
        <v>28.091547752407799</v>
      </c>
      <c r="D109">
        <v>793.49891810614497</v>
      </c>
      <c r="E109" s="1" t="s">
        <v>18</v>
      </c>
      <c r="F109">
        <v>6.6875485585907803</v>
      </c>
      <c r="G109">
        <v>4.5747774664234999</v>
      </c>
      <c r="H109">
        <v>3</v>
      </c>
      <c r="I109">
        <v>69</v>
      </c>
      <c r="J109" s="1" t="s">
        <v>15</v>
      </c>
      <c r="K109" s="1" t="s">
        <v>13</v>
      </c>
      <c r="L109" t="str" cm="1">
        <f t="array" ref="L109">_xlfn.IFS(B109&gt;-80,"Excellent",B109&gt;-95,"Good",B109&gt;-110,"Fair",  TRUE,"Poor")</f>
        <v>Excellent</v>
      </c>
      <c r="M109" s="1" t="str">
        <f t="shared" si="1"/>
        <v>Normal</v>
      </c>
    </row>
    <row r="110" spans="1:13" x14ac:dyDescent="0.3">
      <c r="A110" s="3">
        <v>44672.645555555559</v>
      </c>
      <c r="B110">
        <v>-81.448844884042302</v>
      </c>
      <c r="C110">
        <v>12.673076746555401</v>
      </c>
      <c r="D110">
        <v>171.46277020262201</v>
      </c>
      <c r="E110" s="1" t="s">
        <v>11</v>
      </c>
      <c r="F110">
        <v>13.403373952246</v>
      </c>
      <c r="G110">
        <v>4.3975784911869402</v>
      </c>
      <c r="H110">
        <v>3</v>
      </c>
      <c r="I110">
        <v>73</v>
      </c>
      <c r="J110" s="1" t="s">
        <v>12</v>
      </c>
      <c r="K110" s="1" t="s">
        <v>17</v>
      </c>
      <c r="L110" t="str" cm="1">
        <f t="array" ref="L110">_xlfn.IFS(B110&gt;-80,"Excellent",B110&gt;-95,"Good",B110&gt;-110,"Fair",  TRUE,"Poor")</f>
        <v>Good</v>
      </c>
      <c r="M110" s="1" t="str">
        <f t="shared" si="1"/>
        <v>High Loss</v>
      </c>
    </row>
    <row r="111" spans="1:13" x14ac:dyDescent="0.3">
      <c r="A111" s="3">
        <v>44673.816504629627</v>
      </c>
      <c r="B111">
        <v>-79.995892162925998</v>
      </c>
      <c r="C111">
        <v>13.475090687620099</v>
      </c>
      <c r="D111">
        <v>235.98126768132099</v>
      </c>
      <c r="E111" s="1" t="s">
        <v>18</v>
      </c>
      <c r="F111">
        <v>3.4394130303430699</v>
      </c>
      <c r="G111">
        <v>3.6451171061447298</v>
      </c>
      <c r="H111">
        <v>2</v>
      </c>
      <c r="I111">
        <v>66</v>
      </c>
      <c r="J111" s="1" t="s">
        <v>15</v>
      </c>
      <c r="K111" s="1" t="s">
        <v>17</v>
      </c>
      <c r="L111" t="str" cm="1">
        <f t="array" ref="L111">_xlfn.IFS(B111&gt;-80,"Excellent",B111&gt;-95,"Good",B111&gt;-110,"Fair",  TRUE,"Poor")</f>
        <v>Excellent</v>
      </c>
      <c r="M111" s="1" t="str">
        <f t="shared" si="1"/>
        <v>Normal</v>
      </c>
    </row>
    <row r="112" spans="1:13" x14ac:dyDescent="0.3">
      <c r="A112" s="3">
        <v>44674.731215277781</v>
      </c>
      <c r="B112">
        <v>-78.783383384190003</v>
      </c>
      <c r="C112">
        <v>11.650995348661199</v>
      </c>
      <c r="D112">
        <v>198.61771669906199</v>
      </c>
      <c r="E112" s="1" t="s">
        <v>14</v>
      </c>
      <c r="F112">
        <v>6.2163019290017196</v>
      </c>
      <c r="G112">
        <v>3.46976888429124</v>
      </c>
      <c r="H112">
        <v>7</v>
      </c>
      <c r="I112">
        <v>36</v>
      </c>
      <c r="J112" s="1" t="s">
        <v>15</v>
      </c>
      <c r="K112" s="1" t="s">
        <v>17</v>
      </c>
      <c r="L112" t="str" cm="1">
        <f t="array" ref="L112">_xlfn.IFS(B112&gt;-80,"Excellent",B112&gt;-95,"Good",B112&gt;-110,"Fair",  TRUE,"Poor")</f>
        <v>Excellent</v>
      </c>
      <c r="M112" s="1" t="str">
        <f t="shared" si="1"/>
        <v>Normal</v>
      </c>
    </row>
    <row r="113" spans="1:13" x14ac:dyDescent="0.3">
      <c r="A113" s="3">
        <v>44675.780532407407</v>
      </c>
      <c r="B113">
        <v>-97.395479053449606</v>
      </c>
      <c r="C113">
        <v>16.912029042450801</v>
      </c>
      <c r="D113">
        <v>385.99624201008498</v>
      </c>
      <c r="E113" s="1" t="s">
        <v>14</v>
      </c>
      <c r="F113">
        <v>1.9393847808476601</v>
      </c>
      <c r="G113">
        <v>9.3440557381279703</v>
      </c>
      <c r="H113">
        <v>9</v>
      </c>
      <c r="I113">
        <v>53</v>
      </c>
      <c r="J113" s="1" t="s">
        <v>15</v>
      </c>
      <c r="K113" s="1" t="s">
        <v>13</v>
      </c>
      <c r="L113" t="str" cm="1">
        <f t="array" ref="L113">_xlfn.IFS(B113&gt;-80,"Excellent",B113&gt;-95,"Good",B113&gt;-110,"Fair",  TRUE,"Poor")</f>
        <v>Fair</v>
      </c>
      <c r="M113" s="1" t="str">
        <f t="shared" si="1"/>
        <v>Normal</v>
      </c>
    </row>
    <row r="114" spans="1:13" x14ac:dyDescent="0.3">
      <c r="A114" s="3">
        <v>44676.937326388892</v>
      </c>
      <c r="B114">
        <v>-105.76223420263101</v>
      </c>
      <c r="C114">
        <v>15.0218581498953</v>
      </c>
      <c r="D114">
        <v>1153.80064865948</v>
      </c>
      <c r="E114" s="1" t="s">
        <v>11</v>
      </c>
      <c r="F114">
        <v>8.1559770657150192</v>
      </c>
      <c r="G114">
        <v>9.7451044556272599</v>
      </c>
      <c r="H114">
        <v>6</v>
      </c>
      <c r="I114">
        <v>52</v>
      </c>
      <c r="J114" s="1" t="s">
        <v>12</v>
      </c>
      <c r="K114" s="1" t="s">
        <v>13</v>
      </c>
      <c r="L114" t="str" cm="1">
        <f t="array" ref="L114">_xlfn.IFS(B114&gt;-80,"Excellent",B114&gt;-95,"Good",B114&gt;-110,"Fair",  TRUE,"Poor")</f>
        <v>Fair</v>
      </c>
      <c r="M114" s="1" t="str">
        <f t="shared" si="1"/>
        <v>Normal</v>
      </c>
    </row>
    <row r="115" spans="1:13" x14ac:dyDescent="0.3">
      <c r="A115" s="3">
        <v>44677.413472222222</v>
      </c>
      <c r="B115">
        <v>-90.742821735791694</v>
      </c>
      <c r="C115">
        <v>23.342807580989898</v>
      </c>
      <c r="D115">
        <v>494.12410035607002</v>
      </c>
      <c r="E115" s="1" t="s">
        <v>11</v>
      </c>
      <c r="F115">
        <v>12.6719426133062</v>
      </c>
      <c r="G115">
        <v>1.93576673395608</v>
      </c>
      <c r="H115">
        <v>6</v>
      </c>
      <c r="I115">
        <v>5</v>
      </c>
      <c r="J115" s="1" t="s">
        <v>15</v>
      </c>
      <c r="K115" s="1" t="s">
        <v>13</v>
      </c>
      <c r="L115" t="str" cm="1">
        <f t="array" ref="L115">_xlfn.IFS(B115&gt;-80,"Excellent",B115&gt;-95,"Good",B115&gt;-110,"Fair",  TRUE,"Poor")</f>
        <v>Good</v>
      </c>
      <c r="M115" s="1" t="str">
        <f t="shared" si="1"/>
        <v>High Loss</v>
      </c>
    </row>
    <row r="116" spans="1:13" x14ac:dyDescent="0.3">
      <c r="A116" s="3">
        <v>44678.745428240742</v>
      </c>
      <c r="B116">
        <v>-76.069528640702401</v>
      </c>
      <c r="C116">
        <v>23.1676276354249</v>
      </c>
      <c r="D116">
        <v>975.83599518381004</v>
      </c>
      <c r="E116" s="1" t="s">
        <v>14</v>
      </c>
      <c r="F116">
        <v>0.49500367078079899</v>
      </c>
      <c r="G116">
        <v>0.80055585658134398</v>
      </c>
      <c r="H116">
        <v>7</v>
      </c>
      <c r="I116">
        <v>52</v>
      </c>
      <c r="J116" s="1" t="s">
        <v>12</v>
      </c>
      <c r="K116" s="1" t="s">
        <v>13</v>
      </c>
      <c r="L116" t="str" cm="1">
        <f t="array" ref="L116">_xlfn.IFS(B116&gt;-80,"Excellent",B116&gt;-95,"Good",B116&gt;-110,"Fair",  TRUE,"Poor")</f>
        <v>Excellent</v>
      </c>
      <c r="M116" s="1" t="str">
        <f t="shared" si="1"/>
        <v>Normal</v>
      </c>
    </row>
    <row r="117" spans="1:13" x14ac:dyDescent="0.3">
      <c r="A117" s="3">
        <v>44679.70579861111</v>
      </c>
      <c r="B117">
        <v>-72.656677085497506</v>
      </c>
      <c r="C117">
        <v>29.963213447743598</v>
      </c>
      <c r="D117">
        <v>1137.4339928956499</v>
      </c>
      <c r="E117" s="1" t="s">
        <v>11</v>
      </c>
      <c r="F117">
        <v>9.8359785040913508</v>
      </c>
      <c r="G117">
        <v>7.74237546842296</v>
      </c>
      <c r="H117">
        <v>4</v>
      </c>
      <c r="I117">
        <v>75</v>
      </c>
      <c r="J117" s="1" t="s">
        <v>12</v>
      </c>
      <c r="K117" s="1" t="s">
        <v>17</v>
      </c>
      <c r="L117" t="str" cm="1">
        <f t="array" ref="L117">_xlfn.IFS(B117&gt;-80,"Excellent",B117&gt;-95,"Good",B117&gt;-110,"Fair",  TRUE,"Poor")</f>
        <v>Excellent</v>
      </c>
      <c r="M117" s="1" t="str">
        <f t="shared" si="1"/>
        <v>Normal</v>
      </c>
    </row>
    <row r="118" spans="1:13" x14ac:dyDescent="0.3">
      <c r="A118" s="3">
        <v>44680.644965277781</v>
      </c>
      <c r="B118">
        <v>-84.230276290375301</v>
      </c>
      <c r="C118">
        <v>16.969642457053201</v>
      </c>
      <c r="D118">
        <v>689.42646955874397</v>
      </c>
      <c r="E118" s="1" t="s">
        <v>16</v>
      </c>
      <c r="F118">
        <v>1.14785618101535</v>
      </c>
      <c r="G118">
        <v>8.7253898580526208</v>
      </c>
      <c r="H118">
        <v>6</v>
      </c>
      <c r="I118">
        <v>53</v>
      </c>
      <c r="J118" s="1" t="s">
        <v>12</v>
      </c>
      <c r="K118" s="1" t="s">
        <v>13</v>
      </c>
      <c r="L118" t="str" cm="1">
        <f t="array" ref="L118">_xlfn.IFS(B118&gt;-80,"Excellent",B118&gt;-95,"Good",B118&gt;-110,"Fair",  TRUE,"Poor")</f>
        <v>Good</v>
      </c>
      <c r="M118" s="1" t="str">
        <f t="shared" si="1"/>
        <v>Normal</v>
      </c>
    </row>
    <row r="119" spans="1:13" x14ac:dyDescent="0.3">
      <c r="A119" s="3">
        <v>44681.823055555556</v>
      </c>
      <c r="B119">
        <v>-86.953923540828995</v>
      </c>
      <c r="C119">
        <v>18.931128769281202</v>
      </c>
      <c r="D119">
        <v>1444.9565575856</v>
      </c>
      <c r="E119" s="1" t="s">
        <v>16</v>
      </c>
      <c r="F119">
        <v>3.14696057330044</v>
      </c>
      <c r="G119">
        <v>0.42334999410569701</v>
      </c>
      <c r="H119">
        <v>3</v>
      </c>
      <c r="I119">
        <v>66</v>
      </c>
      <c r="J119" s="1" t="s">
        <v>15</v>
      </c>
      <c r="K119" s="1" t="s">
        <v>13</v>
      </c>
      <c r="L119" t="str" cm="1">
        <f t="array" ref="L119">_xlfn.IFS(B119&gt;-80,"Excellent",B119&gt;-95,"Good",B119&gt;-110,"Fair",  TRUE,"Poor")</f>
        <v>Good</v>
      </c>
      <c r="M119" s="1" t="str">
        <f t="shared" si="1"/>
        <v>Normal</v>
      </c>
    </row>
    <row r="120" spans="1:13" x14ac:dyDescent="0.3">
      <c r="A120" s="3">
        <v>44682.689189814817</v>
      </c>
      <c r="B120">
        <v>-60.8124416975743</v>
      </c>
      <c r="C120">
        <v>21.237175426777</v>
      </c>
      <c r="D120">
        <v>540.39699992884698</v>
      </c>
      <c r="E120" s="1" t="s">
        <v>16</v>
      </c>
      <c r="F120">
        <v>1.1391905963781801</v>
      </c>
      <c r="G120">
        <v>9.9787427755663494</v>
      </c>
      <c r="H120">
        <v>1</v>
      </c>
      <c r="I120">
        <v>13</v>
      </c>
      <c r="J120" s="1" t="s">
        <v>15</v>
      </c>
      <c r="K120" s="1" t="s">
        <v>13</v>
      </c>
      <c r="L120" t="str" cm="1">
        <f t="array" ref="L120">_xlfn.IFS(B120&gt;-80,"Excellent",B120&gt;-95,"Good",B120&gt;-110,"Fair",  TRUE,"Poor")</f>
        <v>Excellent</v>
      </c>
      <c r="M120" s="1" t="str">
        <f t="shared" si="1"/>
        <v>Normal</v>
      </c>
    </row>
    <row r="121" spans="1:13" x14ac:dyDescent="0.3">
      <c r="A121" s="3">
        <v>44683.854178240741</v>
      </c>
      <c r="B121">
        <v>-88.382045576767595</v>
      </c>
      <c r="C121">
        <v>13.386952773387501</v>
      </c>
      <c r="D121">
        <v>157.10005535090801</v>
      </c>
      <c r="E121" s="1" t="s">
        <v>11</v>
      </c>
      <c r="F121">
        <v>6.7662545480700098</v>
      </c>
      <c r="G121">
        <v>2.70769781691176</v>
      </c>
      <c r="H121">
        <v>8</v>
      </c>
      <c r="I121">
        <v>95</v>
      </c>
      <c r="J121" s="1" t="s">
        <v>12</v>
      </c>
      <c r="K121" s="1" t="s">
        <v>13</v>
      </c>
      <c r="L121" t="str" cm="1">
        <f t="array" ref="L121">_xlfn.IFS(B121&gt;-80,"Excellent",B121&gt;-95,"Good",B121&gt;-110,"Fair",  TRUE,"Poor")</f>
        <v>Good</v>
      </c>
      <c r="M121" s="1" t="str">
        <f t="shared" si="1"/>
        <v>Normal</v>
      </c>
    </row>
    <row r="122" spans="1:13" x14ac:dyDescent="0.3">
      <c r="A122" s="3">
        <v>44684.702118055553</v>
      </c>
      <c r="B122">
        <v>-97.711579681297295</v>
      </c>
      <c r="C122">
        <v>16.964323771336101</v>
      </c>
      <c r="D122">
        <v>936.26621218579896</v>
      </c>
      <c r="E122" s="1" t="s">
        <v>16</v>
      </c>
      <c r="F122">
        <v>1.4917153705569699</v>
      </c>
      <c r="G122">
        <v>7.0184214097429196</v>
      </c>
      <c r="H122">
        <v>6</v>
      </c>
      <c r="I122">
        <v>67</v>
      </c>
      <c r="J122" s="1" t="s">
        <v>15</v>
      </c>
      <c r="K122" s="1" t="s">
        <v>17</v>
      </c>
      <c r="L122" t="str" cm="1">
        <f t="array" ref="L122">_xlfn.IFS(B122&gt;-80,"Excellent",B122&gt;-95,"Good",B122&gt;-110,"Fair",  TRUE,"Poor")</f>
        <v>Fair</v>
      </c>
      <c r="M122" s="1" t="str">
        <f t="shared" si="1"/>
        <v>Normal</v>
      </c>
    </row>
    <row r="123" spans="1:13" x14ac:dyDescent="0.3">
      <c r="A123" s="3">
        <v>44685.752002314817</v>
      </c>
      <c r="B123">
        <v>-68.161981296612197</v>
      </c>
      <c r="C123">
        <v>11.6552135735734</v>
      </c>
      <c r="D123">
        <v>1654.4496726718301</v>
      </c>
      <c r="E123" s="1" t="s">
        <v>14</v>
      </c>
      <c r="F123">
        <v>5.9234180678102399</v>
      </c>
      <c r="G123">
        <v>8.1069067515938595</v>
      </c>
      <c r="H123">
        <v>4</v>
      </c>
      <c r="I123">
        <v>35</v>
      </c>
      <c r="J123" s="1" t="s">
        <v>15</v>
      </c>
      <c r="K123" s="1" t="s">
        <v>17</v>
      </c>
      <c r="L123" t="str" cm="1">
        <f t="array" ref="L123">_xlfn.IFS(B123&gt;-80,"Excellent",B123&gt;-95,"Good",B123&gt;-110,"Fair",  TRUE,"Poor")</f>
        <v>Excellent</v>
      </c>
      <c r="M123" s="1" t="str">
        <f t="shared" si="1"/>
        <v>Normal</v>
      </c>
    </row>
    <row r="124" spans="1:13" x14ac:dyDescent="0.3">
      <c r="A124" s="3">
        <v>44686.810196759259</v>
      </c>
      <c r="B124">
        <v>-70.473326287539507</v>
      </c>
      <c r="C124">
        <v>27.131908655879201</v>
      </c>
      <c r="D124">
        <v>360.07757341354301</v>
      </c>
      <c r="E124" s="1" t="s">
        <v>11</v>
      </c>
      <c r="F124">
        <v>5.6698654130431896</v>
      </c>
      <c r="G124">
        <v>8.1912360349966509</v>
      </c>
      <c r="H124">
        <v>1</v>
      </c>
      <c r="I124">
        <v>30</v>
      </c>
      <c r="J124" s="1" t="s">
        <v>12</v>
      </c>
      <c r="K124" s="1" t="s">
        <v>13</v>
      </c>
      <c r="L124" t="str" cm="1">
        <f t="array" ref="L124">_xlfn.IFS(B124&gt;-80,"Excellent",B124&gt;-95,"Good",B124&gt;-110,"Fair",  TRUE,"Poor")</f>
        <v>Excellent</v>
      </c>
      <c r="M124" s="1" t="str">
        <f t="shared" si="1"/>
        <v>Normal</v>
      </c>
    </row>
    <row r="125" spans="1:13" x14ac:dyDescent="0.3">
      <c r="A125" s="3">
        <v>44687.781134259261</v>
      </c>
      <c r="B125">
        <v>-81.202069853965</v>
      </c>
      <c r="C125">
        <v>26.7012868947815</v>
      </c>
      <c r="D125">
        <v>1655.2168121045399</v>
      </c>
      <c r="E125" s="1" t="s">
        <v>16</v>
      </c>
      <c r="F125">
        <v>3.6334643945707001</v>
      </c>
      <c r="G125">
        <v>4.7781089407743798</v>
      </c>
      <c r="H125">
        <v>1</v>
      </c>
      <c r="I125">
        <v>14</v>
      </c>
      <c r="J125" s="1" t="s">
        <v>15</v>
      </c>
      <c r="K125" s="1" t="s">
        <v>17</v>
      </c>
      <c r="L125" t="str" cm="1">
        <f t="array" ref="L125">_xlfn.IFS(B125&gt;-80,"Excellent",B125&gt;-95,"Good",B125&gt;-110,"Fair",  TRUE,"Poor")</f>
        <v>Good</v>
      </c>
      <c r="M125" s="1" t="str">
        <f t="shared" si="1"/>
        <v>Normal</v>
      </c>
    </row>
    <row r="126" spans="1:13" x14ac:dyDescent="0.3">
      <c r="A126" s="3">
        <v>44688.857071759259</v>
      </c>
      <c r="B126">
        <v>-66.710577269143698</v>
      </c>
      <c r="C126">
        <v>28.4120573989665</v>
      </c>
      <c r="D126">
        <v>949.12383300311797</v>
      </c>
      <c r="E126" s="1" t="s">
        <v>18</v>
      </c>
      <c r="F126">
        <v>7.2678361742712303</v>
      </c>
      <c r="G126">
        <v>5.04592004495984</v>
      </c>
      <c r="H126">
        <v>4</v>
      </c>
      <c r="I126">
        <v>95</v>
      </c>
      <c r="J126" s="1" t="s">
        <v>12</v>
      </c>
      <c r="K126" s="1" t="s">
        <v>13</v>
      </c>
      <c r="L126" t="str" cm="1">
        <f t="array" ref="L126">_xlfn.IFS(B126&gt;-80,"Excellent",B126&gt;-95,"Good",B126&gt;-110,"Fair",  TRUE,"Poor")</f>
        <v>Excellent</v>
      </c>
      <c r="M126" s="1" t="str">
        <f t="shared" si="1"/>
        <v>Normal</v>
      </c>
    </row>
    <row r="127" spans="1:13" x14ac:dyDescent="0.3">
      <c r="A127" s="3">
        <v>44689.58184027778</v>
      </c>
      <c r="B127">
        <v>-75.537733296496697</v>
      </c>
      <c r="C127">
        <v>27.7328653967812</v>
      </c>
      <c r="D127">
        <v>199.32269924511601</v>
      </c>
      <c r="E127" s="1" t="s">
        <v>14</v>
      </c>
      <c r="F127">
        <v>9.9556322688834396</v>
      </c>
      <c r="G127">
        <v>4.3057583900363303</v>
      </c>
      <c r="H127">
        <v>2</v>
      </c>
      <c r="I127">
        <v>63</v>
      </c>
      <c r="J127" s="1" t="s">
        <v>12</v>
      </c>
      <c r="K127" s="1" t="s">
        <v>13</v>
      </c>
      <c r="L127" t="str" cm="1">
        <f t="array" ref="L127">_xlfn.IFS(B127&gt;-80,"Excellent",B127&gt;-95,"Good",B127&gt;-110,"Fair",  TRUE,"Poor")</f>
        <v>Excellent</v>
      </c>
      <c r="M127" s="1" t="str">
        <f t="shared" si="1"/>
        <v>Normal</v>
      </c>
    </row>
    <row r="128" spans="1:13" x14ac:dyDescent="0.3">
      <c r="A128" s="3">
        <v>44690.924189814818</v>
      </c>
      <c r="B128">
        <v>-93.659222096430398</v>
      </c>
      <c r="C128">
        <v>18.320766843069801</v>
      </c>
      <c r="D128">
        <v>565.738736267337</v>
      </c>
      <c r="E128" s="1" t="s">
        <v>18</v>
      </c>
      <c r="F128">
        <v>4.9628325113149998</v>
      </c>
      <c r="G128">
        <v>0.75288137813023404</v>
      </c>
      <c r="H128">
        <v>7</v>
      </c>
      <c r="I128">
        <v>4</v>
      </c>
      <c r="J128" s="1" t="s">
        <v>12</v>
      </c>
      <c r="K128" s="1" t="s">
        <v>13</v>
      </c>
      <c r="L128" t="str" cm="1">
        <f t="array" ref="L128">_xlfn.IFS(B128&gt;-80,"Excellent",B128&gt;-95,"Good",B128&gt;-110,"Fair",  TRUE,"Poor")</f>
        <v>Good</v>
      </c>
      <c r="M128" s="1" t="str">
        <f t="shared" si="1"/>
        <v>Normal</v>
      </c>
    </row>
    <row r="129" spans="1:13" x14ac:dyDescent="0.3">
      <c r="A129" s="3">
        <v>44691.943738425929</v>
      </c>
      <c r="B129">
        <v>-66.377561965787805</v>
      </c>
      <c r="C129">
        <v>11.7343070296865</v>
      </c>
      <c r="D129">
        <v>569.64378576422996</v>
      </c>
      <c r="E129" s="1" t="s">
        <v>16</v>
      </c>
      <c r="F129">
        <v>1.26250057076407</v>
      </c>
      <c r="G129">
        <v>1.5131721830065199</v>
      </c>
      <c r="H129">
        <v>1</v>
      </c>
      <c r="I129">
        <v>90</v>
      </c>
      <c r="J129" s="1" t="s">
        <v>15</v>
      </c>
      <c r="K129" s="1" t="s">
        <v>17</v>
      </c>
      <c r="L129" t="str" cm="1">
        <f t="array" ref="L129">_xlfn.IFS(B129&gt;-80,"Excellent",B129&gt;-95,"Good",B129&gt;-110,"Fair",  TRUE,"Poor")</f>
        <v>Excellent</v>
      </c>
      <c r="M129" s="1" t="str">
        <f t="shared" si="1"/>
        <v>Normal</v>
      </c>
    </row>
    <row r="130" spans="1:13" x14ac:dyDescent="0.3">
      <c r="A130" s="3">
        <v>44692.819745370369</v>
      </c>
      <c r="B130">
        <v>-115.25904426107</v>
      </c>
      <c r="C130">
        <v>18.884963590506899</v>
      </c>
      <c r="D130">
        <v>1406.43320841641</v>
      </c>
      <c r="E130" s="1" t="s">
        <v>16</v>
      </c>
      <c r="F130">
        <v>4.3051839833060104</v>
      </c>
      <c r="G130">
        <v>9.6057600505226901</v>
      </c>
      <c r="H130">
        <v>1</v>
      </c>
      <c r="I130">
        <v>97</v>
      </c>
      <c r="J130" s="1" t="s">
        <v>12</v>
      </c>
      <c r="K130" s="1" t="s">
        <v>17</v>
      </c>
      <c r="L130" t="str" cm="1">
        <f t="array" ref="L130">_xlfn.IFS(B130&gt;-80,"Excellent",B130&gt;-95,"Good",B130&gt;-110,"Fair",  TRUE,"Poor")</f>
        <v>Poor</v>
      </c>
      <c r="M130" s="1" t="str">
        <f t="shared" si="1"/>
        <v>Normal</v>
      </c>
    </row>
    <row r="131" spans="1:13" x14ac:dyDescent="0.3">
      <c r="A131" s="3">
        <v>44693.958541666667</v>
      </c>
      <c r="B131">
        <v>-69.465501665308693</v>
      </c>
      <c r="C131">
        <v>12.330209795605001</v>
      </c>
      <c r="D131">
        <v>395.41531996371498</v>
      </c>
      <c r="E131" s="1" t="s">
        <v>18</v>
      </c>
      <c r="F131">
        <v>7.0659918712028604</v>
      </c>
      <c r="G131">
        <v>5.0845490352284797</v>
      </c>
      <c r="H131">
        <v>1</v>
      </c>
      <c r="I131">
        <v>44</v>
      </c>
      <c r="J131" s="1" t="s">
        <v>12</v>
      </c>
      <c r="K131" s="1" t="s">
        <v>17</v>
      </c>
      <c r="L131" t="str" cm="1">
        <f t="array" ref="L131">_xlfn.IFS(B131&gt;-80,"Excellent",B131&gt;-95,"Good",B131&gt;-110,"Fair",  TRUE,"Poor")</f>
        <v>Excellent</v>
      </c>
      <c r="M131" s="1" t="str">
        <f t="shared" ref="M131:M194" si="2">IF(F131&gt;10,"High Loss","Normal")</f>
        <v>Normal</v>
      </c>
    </row>
    <row r="132" spans="1:13" x14ac:dyDescent="0.3">
      <c r="A132" s="3">
        <v>44694.803148148145</v>
      </c>
      <c r="B132">
        <v>-75.015584867560506</v>
      </c>
      <c r="C132">
        <v>12.713415489822699</v>
      </c>
      <c r="D132">
        <v>1617.82304939153</v>
      </c>
      <c r="E132" s="1" t="s">
        <v>11</v>
      </c>
      <c r="F132">
        <v>6.1283116569449003</v>
      </c>
      <c r="G132">
        <v>9.1500341461296202</v>
      </c>
      <c r="H132">
        <v>7</v>
      </c>
      <c r="I132">
        <v>6</v>
      </c>
      <c r="J132" s="1" t="s">
        <v>15</v>
      </c>
      <c r="K132" s="1" t="s">
        <v>13</v>
      </c>
      <c r="L132" t="str" cm="1">
        <f t="array" ref="L132">_xlfn.IFS(B132&gt;-80,"Excellent",B132&gt;-95,"Good",B132&gt;-110,"Fair",  TRUE,"Poor")</f>
        <v>Excellent</v>
      </c>
      <c r="M132" s="1" t="str">
        <f t="shared" si="2"/>
        <v>Normal</v>
      </c>
    </row>
    <row r="133" spans="1:13" x14ac:dyDescent="0.3">
      <c r="A133" s="3">
        <v>44695.595775462964</v>
      </c>
      <c r="B133">
        <v>-76.881604351289198</v>
      </c>
      <c r="C133">
        <v>28.306054053979999</v>
      </c>
      <c r="D133">
        <v>1558.6560315642</v>
      </c>
      <c r="E133" s="1" t="s">
        <v>18</v>
      </c>
      <c r="F133">
        <v>3.0622240563468499</v>
      </c>
      <c r="G133">
        <v>0.13056595401379301</v>
      </c>
      <c r="H133">
        <v>4</v>
      </c>
      <c r="I133">
        <v>99</v>
      </c>
      <c r="J133" s="1" t="s">
        <v>15</v>
      </c>
      <c r="K133" s="1" t="s">
        <v>13</v>
      </c>
      <c r="L133" t="str" cm="1">
        <f t="array" ref="L133">_xlfn.IFS(B133&gt;-80,"Excellent",B133&gt;-95,"Good",B133&gt;-110,"Fair",  TRUE,"Poor")</f>
        <v>Excellent</v>
      </c>
      <c r="M133" s="1" t="str">
        <f t="shared" si="2"/>
        <v>Normal</v>
      </c>
    </row>
    <row r="134" spans="1:13" x14ac:dyDescent="0.3">
      <c r="A134" s="3">
        <v>44696.697465277779</v>
      </c>
      <c r="B134">
        <v>-97.974458870865007</v>
      </c>
      <c r="C134">
        <v>27.082821881350899</v>
      </c>
      <c r="D134">
        <v>1732.0677679575499</v>
      </c>
      <c r="E134" s="1" t="s">
        <v>16</v>
      </c>
      <c r="F134">
        <v>2.9652350536460599</v>
      </c>
      <c r="G134">
        <v>3.1219380273698998</v>
      </c>
      <c r="H134">
        <v>7</v>
      </c>
      <c r="I134">
        <v>91</v>
      </c>
      <c r="J134" s="1" t="s">
        <v>15</v>
      </c>
      <c r="K134" s="1" t="s">
        <v>13</v>
      </c>
      <c r="L134" t="str" cm="1">
        <f t="array" ref="L134">_xlfn.IFS(B134&gt;-80,"Excellent",B134&gt;-95,"Good",B134&gt;-110,"Fair",  TRUE,"Poor")</f>
        <v>Fair</v>
      </c>
      <c r="M134" s="1" t="str">
        <f t="shared" si="2"/>
        <v>Normal</v>
      </c>
    </row>
    <row r="135" spans="1:13" x14ac:dyDescent="0.3">
      <c r="A135" s="3">
        <v>44697.442662037036</v>
      </c>
      <c r="B135">
        <v>-97.187740186363797</v>
      </c>
      <c r="C135">
        <v>18.971054730891598</v>
      </c>
      <c r="D135">
        <v>221.79669840711901</v>
      </c>
      <c r="E135" s="1" t="s">
        <v>11</v>
      </c>
      <c r="F135">
        <v>13.640795050447901</v>
      </c>
      <c r="G135">
        <v>7.6399436490392496</v>
      </c>
      <c r="H135">
        <v>9</v>
      </c>
      <c r="I135">
        <v>34</v>
      </c>
      <c r="J135" s="1" t="s">
        <v>15</v>
      </c>
      <c r="K135" s="1" t="s">
        <v>13</v>
      </c>
      <c r="L135" t="str" cm="1">
        <f t="array" ref="L135">_xlfn.IFS(B135&gt;-80,"Excellent",B135&gt;-95,"Good",B135&gt;-110,"Fair",  TRUE,"Poor")</f>
        <v>Fair</v>
      </c>
      <c r="M135" s="1" t="str">
        <f t="shared" si="2"/>
        <v>High Loss</v>
      </c>
    </row>
    <row r="136" spans="1:13" x14ac:dyDescent="0.3">
      <c r="A136" s="3">
        <v>44698.864872685182</v>
      </c>
      <c r="B136">
        <v>-98.806246107094097</v>
      </c>
      <c r="C136">
        <v>11.0890711331219</v>
      </c>
      <c r="D136">
        <v>690.51928550262096</v>
      </c>
      <c r="E136" s="1" t="s">
        <v>11</v>
      </c>
      <c r="F136">
        <v>11.534570193636201</v>
      </c>
      <c r="G136">
        <v>9.8695459530821008</v>
      </c>
      <c r="H136">
        <v>2</v>
      </c>
      <c r="I136">
        <v>87</v>
      </c>
      <c r="J136" s="1" t="s">
        <v>15</v>
      </c>
      <c r="K136" s="1" t="s">
        <v>13</v>
      </c>
      <c r="L136" t="str" cm="1">
        <f t="array" ref="L136">_xlfn.IFS(B136&gt;-80,"Excellent",B136&gt;-95,"Good",B136&gt;-110,"Fair",  TRUE,"Poor")</f>
        <v>Fair</v>
      </c>
      <c r="M136" s="1" t="str">
        <f t="shared" si="2"/>
        <v>High Loss</v>
      </c>
    </row>
    <row r="137" spans="1:13" x14ac:dyDescent="0.3">
      <c r="A137" s="3">
        <v>44699.706678240742</v>
      </c>
      <c r="B137">
        <v>-108.954401303818</v>
      </c>
      <c r="C137">
        <v>22.0618473104341</v>
      </c>
      <c r="D137">
        <v>201.044818227094</v>
      </c>
      <c r="E137" s="1" t="s">
        <v>11</v>
      </c>
      <c r="F137">
        <v>13.616903146871399</v>
      </c>
      <c r="G137">
        <v>7.4693460553676196</v>
      </c>
      <c r="H137">
        <v>2</v>
      </c>
      <c r="I137">
        <v>83</v>
      </c>
      <c r="J137" s="1" t="s">
        <v>12</v>
      </c>
      <c r="K137" s="1" t="s">
        <v>13</v>
      </c>
      <c r="L137" t="str" cm="1">
        <f t="array" ref="L137">_xlfn.IFS(B137&gt;-80,"Excellent",B137&gt;-95,"Good",B137&gt;-110,"Fair",  TRUE,"Poor")</f>
        <v>Fair</v>
      </c>
      <c r="M137" s="1" t="str">
        <f t="shared" si="2"/>
        <v>High Loss</v>
      </c>
    </row>
    <row r="138" spans="1:13" x14ac:dyDescent="0.3">
      <c r="A138" s="3">
        <v>44700.974317129629</v>
      </c>
      <c r="B138">
        <v>-87.2517038488715</v>
      </c>
      <c r="C138">
        <v>20.675113187186401</v>
      </c>
      <c r="D138">
        <v>1715.3227827892899</v>
      </c>
      <c r="E138" s="1" t="s">
        <v>11</v>
      </c>
      <c r="F138">
        <v>12.404708299746201</v>
      </c>
      <c r="G138">
        <v>7.81205207061618</v>
      </c>
      <c r="H138">
        <v>9</v>
      </c>
      <c r="I138">
        <v>81</v>
      </c>
      <c r="J138" s="1" t="s">
        <v>15</v>
      </c>
      <c r="K138" s="1" t="s">
        <v>13</v>
      </c>
      <c r="L138" t="str" cm="1">
        <f t="array" ref="L138">_xlfn.IFS(B138&gt;-80,"Excellent",B138&gt;-95,"Good",B138&gt;-110,"Fair",  TRUE,"Poor")</f>
        <v>Good</v>
      </c>
      <c r="M138" s="1" t="str">
        <f t="shared" si="2"/>
        <v>High Loss</v>
      </c>
    </row>
    <row r="139" spans="1:13" x14ac:dyDescent="0.3">
      <c r="A139" s="3">
        <v>44701.825416666667</v>
      </c>
      <c r="B139">
        <v>-81.527329237291298</v>
      </c>
      <c r="C139">
        <v>27.250128336335401</v>
      </c>
      <c r="D139">
        <v>1633.67795034658</v>
      </c>
      <c r="E139" s="1" t="s">
        <v>14</v>
      </c>
      <c r="F139">
        <v>7.9044959078565604</v>
      </c>
      <c r="G139">
        <v>5.4793881420950399</v>
      </c>
      <c r="H139">
        <v>7</v>
      </c>
      <c r="I139">
        <v>47</v>
      </c>
      <c r="J139" s="1" t="s">
        <v>12</v>
      </c>
      <c r="K139" s="1" t="s">
        <v>13</v>
      </c>
      <c r="L139" t="str" cm="1">
        <f t="array" ref="L139">_xlfn.IFS(B139&gt;-80,"Excellent",B139&gt;-95,"Good",B139&gt;-110,"Fair",  TRUE,"Poor")</f>
        <v>Good</v>
      </c>
      <c r="M139" s="1" t="str">
        <f t="shared" si="2"/>
        <v>Normal</v>
      </c>
    </row>
    <row r="140" spans="1:13" x14ac:dyDescent="0.3">
      <c r="A140" s="3">
        <v>44702.38548611111</v>
      </c>
      <c r="B140">
        <v>-90.179147899157599</v>
      </c>
      <c r="C140">
        <v>13.574310246886901</v>
      </c>
      <c r="D140">
        <v>1697.97953915419</v>
      </c>
      <c r="E140" s="1" t="s">
        <v>11</v>
      </c>
      <c r="F140">
        <v>13.469249782022599</v>
      </c>
      <c r="G140">
        <v>8.6696059998527009</v>
      </c>
      <c r="H140">
        <v>8</v>
      </c>
      <c r="I140">
        <v>78</v>
      </c>
      <c r="J140" s="1" t="s">
        <v>15</v>
      </c>
      <c r="K140" s="1" t="s">
        <v>13</v>
      </c>
      <c r="L140" t="str" cm="1">
        <f t="array" ref="L140">_xlfn.IFS(B140&gt;-80,"Excellent",B140&gt;-95,"Good",B140&gt;-110,"Fair",  TRUE,"Poor")</f>
        <v>Good</v>
      </c>
      <c r="M140" s="1" t="str">
        <f t="shared" si="2"/>
        <v>High Loss</v>
      </c>
    </row>
    <row r="141" spans="1:13" x14ac:dyDescent="0.3">
      <c r="A141" s="3">
        <v>44703.654456018521</v>
      </c>
      <c r="B141">
        <v>-100.455825772024</v>
      </c>
      <c r="C141">
        <v>13.8999587984848</v>
      </c>
      <c r="D141">
        <v>1435.55506213218</v>
      </c>
      <c r="E141" s="1" t="s">
        <v>18</v>
      </c>
      <c r="F141">
        <v>7.2484403701712399</v>
      </c>
      <c r="G141">
        <v>7.1519277093553999</v>
      </c>
      <c r="H141">
        <v>1</v>
      </c>
      <c r="I141">
        <v>96</v>
      </c>
      <c r="J141" s="1" t="s">
        <v>15</v>
      </c>
      <c r="K141" s="1" t="s">
        <v>17</v>
      </c>
      <c r="L141" t="str" cm="1">
        <f t="array" ref="L141">_xlfn.IFS(B141&gt;-80,"Excellent",B141&gt;-95,"Good",B141&gt;-110,"Fair",  TRUE,"Poor")</f>
        <v>Fair</v>
      </c>
      <c r="M141" s="1" t="str">
        <f t="shared" si="2"/>
        <v>Normal</v>
      </c>
    </row>
    <row r="142" spans="1:13" x14ac:dyDescent="0.3">
      <c r="A142" s="3">
        <v>44704.846030092594</v>
      </c>
      <c r="B142">
        <v>-50.933754301928502</v>
      </c>
      <c r="C142">
        <v>22.777548351822201</v>
      </c>
      <c r="D142">
        <v>360.218316007125</v>
      </c>
      <c r="E142" s="1" t="s">
        <v>16</v>
      </c>
      <c r="F142">
        <v>3.7204276673643899</v>
      </c>
      <c r="G142">
        <v>3.4626862644400398</v>
      </c>
      <c r="H142">
        <v>6</v>
      </c>
      <c r="I142">
        <v>18</v>
      </c>
      <c r="J142" s="1" t="s">
        <v>15</v>
      </c>
      <c r="K142" s="1" t="s">
        <v>13</v>
      </c>
      <c r="L142" t="str" cm="1">
        <f t="array" ref="L142">_xlfn.IFS(B142&gt;-80,"Excellent",B142&gt;-95,"Good",B142&gt;-110,"Fair",  TRUE,"Poor")</f>
        <v>Excellent</v>
      </c>
      <c r="M142" s="1" t="str">
        <f t="shared" si="2"/>
        <v>Normal</v>
      </c>
    </row>
    <row r="143" spans="1:13" x14ac:dyDescent="0.3">
      <c r="A143" s="3">
        <v>44705.568020833336</v>
      </c>
      <c r="B143">
        <v>-74.341203790799895</v>
      </c>
      <c r="C143">
        <v>15.1655638706308</v>
      </c>
      <c r="D143">
        <v>1792.2576855978</v>
      </c>
      <c r="E143" s="1" t="s">
        <v>16</v>
      </c>
      <c r="F143">
        <v>2.2040602207906201</v>
      </c>
      <c r="G143">
        <v>9.3189568684420294</v>
      </c>
      <c r="H143">
        <v>7</v>
      </c>
      <c r="I143">
        <v>69</v>
      </c>
      <c r="J143" s="1" t="s">
        <v>12</v>
      </c>
      <c r="K143" s="1" t="s">
        <v>13</v>
      </c>
      <c r="L143" t="str" cm="1">
        <f t="array" ref="L143">_xlfn.IFS(B143&gt;-80,"Excellent",B143&gt;-95,"Good",B143&gt;-110,"Fair",  TRUE,"Poor")</f>
        <v>Excellent</v>
      </c>
      <c r="M143" s="1" t="str">
        <f t="shared" si="2"/>
        <v>Normal</v>
      </c>
    </row>
    <row r="144" spans="1:13" x14ac:dyDescent="0.3">
      <c r="A144" s="3">
        <v>44706.782604166663</v>
      </c>
      <c r="B144">
        <v>-74.130390173592701</v>
      </c>
      <c r="C144">
        <v>21.032955712772399</v>
      </c>
      <c r="D144">
        <v>1533.5423319352301</v>
      </c>
      <c r="E144" s="1" t="s">
        <v>14</v>
      </c>
      <c r="F144">
        <v>7.33105558182538</v>
      </c>
      <c r="G144">
        <v>8.5212783841784994</v>
      </c>
      <c r="H144">
        <v>6</v>
      </c>
      <c r="I144">
        <v>81</v>
      </c>
      <c r="J144" s="1" t="s">
        <v>12</v>
      </c>
      <c r="K144" s="1" t="s">
        <v>17</v>
      </c>
      <c r="L144" t="str" cm="1">
        <f t="array" ref="L144">_xlfn.IFS(B144&gt;-80,"Excellent",B144&gt;-95,"Good",B144&gt;-110,"Fair",  TRUE,"Poor")</f>
        <v>Excellent</v>
      </c>
      <c r="M144" s="1" t="str">
        <f t="shared" si="2"/>
        <v>Normal</v>
      </c>
    </row>
    <row r="145" spans="1:13" x14ac:dyDescent="0.3">
      <c r="A145" s="3">
        <v>44707.736215277779</v>
      </c>
      <c r="B145">
        <v>-90.049546954967397</v>
      </c>
      <c r="C145">
        <v>21.830699136788802</v>
      </c>
      <c r="D145">
        <v>165.953509951499</v>
      </c>
      <c r="E145" s="1" t="s">
        <v>18</v>
      </c>
      <c r="F145">
        <v>6.8862605604137599</v>
      </c>
      <c r="G145">
        <v>1.3680246860760901</v>
      </c>
      <c r="H145">
        <v>10</v>
      </c>
      <c r="I145">
        <v>10</v>
      </c>
      <c r="J145" s="1" t="s">
        <v>15</v>
      </c>
      <c r="K145" s="1" t="s">
        <v>17</v>
      </c>
      <c r="L145" t="str" cm="1">
        <f t="array" ref="L145">_xlfn.IFS(B145&gt;-80,"Excellent",B145&gt;-95,"Good",B145&gt;-110,"Fair",  TRUE,"Poor")</f>
        <v>Good</v>
      </c>
      <c r="M145" s="1" t="str">
        <f t="shared" si="2"/>
        <v>Normal</v>
      </c>
    </row>
    <row r="146" spans="1:13" x14ac:dyDescent="0.3">
      <c r="A146" s="3">
        <v>44708.795162037037</v>
      </c>
      <c r="B146">
        <v>-75.506463903533501</v>
      </c>
      <c r="C146">
        <v>28.200970177895201</v>
      </c>
      <c r="D146">
        <v>1639.98368061019</v>
      </c>
      <c r="E146" s="1" t="s">
        <v>11</v>
      </c>
      <c r="F146">
        <v>7.5583973776904401</v>
      </c>
      <c r="G146">
        <v>0.70195052353843002</v>
      </c>
      <c r="H146">
        <v>7</v>
      </c>
      <c r="I146">
        <v>82</v>
      </c>
      <c r="J146" s="1" t="s">
        <v>12</v>
      </c>
      <c r="K146" s="1" t="s">
        <v>17</v>
      </c>
      <c r="L146" t="str" cm="1">
        <f t="array" ref="L146">_xlfn.IFS(B146&gt;-80,"Excellent",B146&gt;-95,"Good",B146&gt;-110,"Fair",  TRUE,"Poor")</f>
        <v>Excellent</v>
      </c>
      <c r="M146" s="1" t="str">
        <f t="shared" si="2"/>
        <v>Normal</v>
      </c>
    </row>
    <row r="147" spans="1:13" x14ac:dyDescent="0.3">
      <c r="A147" s="3">
        <v>44709.888298611113</v>
      </c>
      <c r="B147">
        <v>-83.562631775238998</v>
      </c>
      <c r="C147">
        <v>26.342585138559699</v>
      </c>
      <c r="D147">
        <v>926.54124437492806</v>
      </c>
      <c r="E147" s="1" t="s">
        <v>14</v>
      </c>
      <c r="F147">
        <v>9.9848664256080593</v>
      </c>
      <c r="G147">
        <v>0.67054808241164798</v>
      </c>
      <c r="H147">
        <v>2</v>
      </c>
      <c r="I147">
        <v>79</v>
      </c>
      <c r="J147" s="1" t="s">
        <v>12</v>
      </c>
      <c r="K147" s="1" t="s">
        <v>17</v>
      </c>
      <c r="L147" t="str" cm="1">
        <f t="array" ref="L147">_xlfn.IFS(B147&gt;-80,"Excellent",B147&gt;-95,"Good",B147&gt;-110,"Fair",  TRUE,"Poor")</f>
        <v>Good</v>
      </c>
      <c r="M147" s="1" t="str">
        <f t="shared" si="2"/>
        <v>Normal</v>
      </c>
    </row>
    <row r="148" spans="1:13" x14ac:dyDescent="0.3">
      <c r="A148" s="3">
        <v>44710.96434027778</v>
      </c>
      <c r="B148">
        <v>-64.828292776385098</v>
      </c>
      <c r="C148">
        <v>11.6758147208345</v>
      </c>
      <c r="D148">
        <v>400.47957782018898</v>
      </c>
      <c r="E148" s="1" t="s">
        <v>16</v>
      </c>
      <c r="F148">
        <v>1.62102842195629</v>
      </c>
      <c r="G148">
        <v>0.214151275264929</v>
      </c>
      <c r="H148">
        <v>9</v>
      </c>
      <c r="I148">
        <v>62</v>
      </c>
      <c r="J148" s="1" t="s">
        <v>15</v>
      </c>
      <c r="K148" s="1" t="s">
        <v>13</v>
      </c>
      <c r="L148" t="str" cm="1">
        <f t="array" ref="L148">_xlfn.IFS(B148&gt;-80,"Excellent",B148&gt;-95,"Good",B148&gt;-110,"Fair",  TRUE,"Poor")</f>
        <v>Excellent</v>
      </c>
      <c r="M148" s="1" t="str">
        <f t="shared" si="2"/>
        <v>Normal</v>
      </c>
    </row>
    <row r="149" spans="1:13" x14ac:dyDescent="0.3">
      <c r="A149" s="3">
        <v>44711.965324074074</v>
      </c>
      <c r="B149">
        <v>-73.038052357094102</v>
      </c>
      <c r="C149">
        <v>21.007353143298001</v>
      </c>
      <c r="D149">
        <v>1459.9553729596601</v>
      </c>
      <c r="E149" s="1" t="s">
        <v>14</v>
      </c>
      <c r="F149">
        <v>8.9280510381394897</v>
      </c>
      <c r="G149">
        <v>5.15860333770891</v>
      </c>
      <c r="H149">
        <v>9</v>
      </c>
      <c r="I149">
        <v>67</v>
      </c>
      <c r="J149" s="1" t="s">
        <v>12</v>
      </c>
      <c r="K149" s="1" t="s">
        <v>13</v>
      </c>
      <c r="L149" t="str" cm="1">
        <f t="array" ref="L149">_xlfn.IFS(B149&gt;-80,"Excellent",B149&gt;-95,"Good",B149&gt;-110,"Fair",  TRUE,"Poor")</f>
        <v>Excellent</v>
      </c>
      <c r="M149" s="1" t="str">
        <f t="shared" si="2"/>
        <v>Normal</v>
      </c>
    </row>
    <row r="150" spans="1:13" x14ac:dyDescent="0.3">
      <c r="A150" s="3">
        <v>44712.982476851852</v>
      </c>
      <c r="B150">
        <v>-90.113317298889896</v>
      </c>
      <c r="C150">
        <v>21.241479857825301</v>
      </c>
      <c r="D150">
        <v>928.627967640419</v>
      </c>
      <c r="E150" s="1" t="s">
        <v>18</v>
      </c>
      <c r="F150">
        <v>2.5144295404618302</v>
      </c>
      <c r="G150">
        <v>7.5337711314195301</v>
      </c>
      <c r="H150">
        <v>8</v>
      </c>
      <c r="I150">
        <v>70</v>
      </c>
      <c r="J150" s="1" t="s">
        <v>12</v>
      </c>
      <c r="K150" s="1" t="s">
        <v>17</v>
      </c>
      <c r="L150" t="str" cm="1">
        <f t="array" ref="L150">_xlfn.IFS(B150&gt;-80,"Excellent",B150&gt;-95,"Good",B150&gt;-110,"Fair",  TRUE,"Poor")</f>
        <v>Good</v>
      </c>
      <c r="M150" s="1" t="str">
        <f t="shared" si="2"/>
        <v>Normal</v>
      </c>
    </row>
    <row r="151" spans="1:13" x14ac:dyDescent="0.3">
      <c r="A151" s="3">
        <v>44713.452314814815</v>
      </c>
      <c r="B151">
        <v>-91.622688656485394</v>
      </c>
      <c r="C151">
        <v>15.3171384523831</v>
      </c>
      <c r="D151">
        <v>1787.06797186323</v>
      </c>
      <c r="E151" s="1" t="s">
        <v>18</v>
      </c>
      <c r="F151">
        <v>6.6720304162924702</v>
      </c>
      <c r="G151">
        <v>2.92342766024505</v>
      </c>
      <c r="H151">
        <v>7</v>
      </c>
      <c r="I151">
        <v>94</v>
      </c>
      <c r="J151" s="1" t="s">
        <v>12</v>
      </c>
      <c r="K151" s="1" t="s">
        <v>17</v>
      </c>
      <c r="L151" t="str" cm="1">
        <f t="array" ref="L151">_xlfn.IFS(B151&gt;-80,"Excellent",B151&gt;-95,"Good",B151&gt;-110,"Fair",  TRUE,"Poor")</f>
        <v>Good</v>
      </c>
      <c r="M151" s="1" t="str">
        <f t="shared" si="2"/>
        <v>Normal</v>
      </c>
    </row>
    <row r="152" spans="1:13" x14ac:dyDescent="0.3">
      <c r="A152" s="3">
        <v>44714.416967592595</v>
      </c>
      <c r="B152">
        <v>-74.5024590817073</v>
      </c>
      <c r="C152">
        <v>26.8731087110346</v>
      </c>
      <c r="D152">
        <v>787.14099629072803</v>
      </c>
      <c r="E152" s="1" t="s">
        <v>14</v>
      </c>
      <c r="F152">
        <v>6.2607348537010097</v>
      </c>
      <c r="G152">
        <v>0.40412158390642999</v>
      </c>
      <c r="H152">
        <v>2</v>
      </c>
      <c r="I152">
        <v>50</v>
      </c>
      <c r="J152" s="1" t="s">
        <v>15</v>
      </c>
      <c r="K152" s="1" t="s">
        <v>13</v>
      </c>
      <c r="L152" t="str" cm="1">
        <f t="array" ref="L152">_xlfn.IFS(B152&gt;-80,"Excellent",B152&gt;-95,"Good",B152&gt;-110,"Fair",  TRUE,"Poor")</f>
        <v>Excellent</v>
      </c>
      <c r="M152" s="1" t="str">
        <f t="shared" si="2"/>
        <v>Normal</v>
      </c>
    </row>
    <row r="153" spans="1:13" x14ac:dyDescent="0.3">
      <c r="A153" s="3">
        <v>44715.590173611112</v>
      </c>
      <c r="B153">
        <v>-63.697188821906401</v>
      </c>
      <c r="C153">
        <v>13.3624029183649</v>
      </c>
      <c r="D153">
        <v>1022.9738529247099</v>
      </c>
      <c r="E153" s="1" t="s">
        <v>14</v>
      </c>
      <c r="F153">
        <v>0.89807058839139497</v>
      </c>
      <c r="G153">
        <v>7.8477774513937604</v>
      </c>
      <c r="H153">
        <v>6</v>
      </c>
      <c r="I153">
        <v>11</v>
      </c>
      <c r="J153" s="1" t="s">
        <v>15</v>
      </c>
      <c r="K153" s="1" t="s">
        <v>13</v>
      </c>
      <c r="L153" t="str" cm="1">
        <f t="array" ref="L153">_xlfn.IFS(B153&gt;-80,"Excellent",B153&gt;-95,"Good",B153&gt;-110,"Fair",  TRUE,"Poor")</f>
        <v>Excellent</v>
      </c>
      <c r="M153" s="1" t="str">
        <f t="shared" si="2"/>
        <v>Normal</v>
      </c>
    </row>
    <row r="154" spans="1:13" x14ac:dyDescent="0.3">
      <c r="A154" s="3">
        <v>44716.457511574074</v>
      </c>
      <c r="B154">
        <v>-70.771797696996998</v>
      </c>
      <c r="C154">
        <v>12.693206038280801</v>
      </c>
      <c r="D154">
        <v>1534.8440263339801</v>
      </c>
      <c r="E154" s="1" t="s">
        <v>14</v>
      </c>
      <c r="F154">
        <v>7.3603546111583498</v>
      </c>
      <c r="G154">
        <v>4.6524169185433797</v>
      </c>
      <c r="H154">
        <v>3</v>
      </c>
      <c r="I154">
        <v>24</v>
      </c>
      <c r="J154" s="1" t="s">
        <v>12</v>
      </c>
      <c r="K154" s="1" t="s">
        <v>17</v>
      </c>
      <c r="L154" t="str" cm="1">
        <f t="array" ref="L154">_xlfn.IFS(B154&gt;-80,"Excellent",B154&gt;-95,"Good",B154&gt;-110,"Fair",  TRUE,"Poor")</f>
        <v>Excellent</v>
      </c>
      <c r="M154" s="1" t="str">
        <f t="shared" si="2"/>
        <v>Normal</v>
      </c>
    </row>
    <row r="155" spans="1:13" x14ac:dyDescent="0.3">
      <c r="A155" s="3">
        <v>44717.586574074077</v>
      </c>
      <c r="B155">
        <v>-86.185889514544002</v>
      </c>
      <c r="C155">
        <v>17.3721939710667</v>
      </c>
      <c r="D155">
        <v>1499.44108318393</v>
      </c>
      <c r="E155" s="1" t="s">
        <v>14</v>
      </c>
      <c r="F155">
        <v>8.8218147268629696</v>
      </c>
      <c r="G155">
        <v>3.9097208277766198</v>
      </c>
      <c r="H155">
        <v>3</v>
      </c>
      <c r="I155">
        <v>77</v>
      </c>
      <c r="J155" s="1" t="s">
        <v>15</v>
      </c>
      <c r="K155" s="1" t="s">
        <v>17</v>
      </c>
      <c r="L155" t="str" cm="1">
        <f t="array" ref="L155">_xlfn.IFS(B155&gt;-80,"Excellent",B155&gt;-95,"Good",B155&gt;-110,"Fair",  TRUE,"Poor")</f>
        <v>Good</v>
      </c>
      <c r="M155" s="1" t="str">
        <f t="shared" si="2"/>
        <v>Normal</v>
      </c>
    </row>
    <row r="156" spans="1:13" x14ac:dyDescent="0.3">
      <c r="A156" s="3">
        <v>44718.676377314812</v>
      </c>
      <c r="B156">
        <v>-89.734381959335195</v>
      </c>
      <c r="C156">
        <v>10.9814865761465</v>
      </c>
      <c r="D156">
        <v>972.09572192275004</v>
      </c>
      <c r="E156" s="1" t="s">
        <v>11</v>
      </c>
      <c r="F156">
        <v>13.0120908322709</v>
      </c>
      <c r="G156">
        <v>3.1754326588629098</v>
      </c>
      <c r="H156">
        <v>6</v>
      </c>
      <c r="I156">
        <v>28</v>
      </c>
      <c r="J156" s="1" t="s">
        <v>12</v>
      </c>
      <c r="K156" s="1" t="s">
        <v>13</v>
      </c>
      <c r="L156" t="str" cm="1">
        <f t="array" ref="L156">_xlfn.IFS(B156&gt;-80,"Excellent",B156&gt;-95,"Good",B156&gt;-110,"Fair",  TRUE,"Poor")</f>
        <v>Good</v>
      </c>
      <c r="M156" s="1" t="str">
        <f t="shared" si="2"/>
        <v>High Loss</v>
      </c>
    </row>
    <row r="157" spans="1:13" x14ac:dyDescent="0.3">
      <c r="A157" s="3">
        <v>44719.470034722224</v>
      </c>
      <c r="B157">
        <v>-85.265388113688402</v>
      </c>
      <c r="C157">
        <v>23.132468889493101</v>
      </c>
      <c r="D157">
        <v>957.06767564947495</v>
      </c>
      <c r="E157" s="1" t="s">
        <v>14</v>
      </c>
      <c r="F157">
        <v>9.2094467427368105</v>
      </c>
      <c r="G157">
        <v>1.11477380665829</v>
      </c>
      <c r="H157">
        <v>10</v>
      </c>
      <c r="I157">
        <v>28</v>
      </c>
      <c r="J157" s="1" t="s">
        <v>15</v>
      </c>
      <c r="K157" s="1" t="s">
        <v>17</v>
      </c>
      <c r="L157" t="str" cm="1">
        <f t="array" ref="L157">_xlfn.IFS(B157&gt;-80,"Excellent",B157&gt;-95,"Good",B157&gt;-110,"Fair",  TRUE,"Poor")</f>
        <v>Good</v>
      </c>
      <c r="M157" s="1" t="str">
        <f t="shared" si="2"/>
        <v>Normal</v>
      </c>
    </row>
    <row r="158" spans="1:13" x14ac:dyDescent="0.3">
      <c r="A158" s="3">
        <v>44720.789004629631</v>
      </c>
      <c r="B158">
        <v>-64.864666941549402</v>
      </c>
      <c r="C158">
        <v>21.878372919461398</v>
      </c>
      <c r="D158">
        <v>1492.9638069258499</v>
      </c>
      <c r="E158" s="1" t="s">
        <v>16</v>
      </c>
      <c r="F158">
        <v>2.2668898197727598</v>
      </c>
      <c r="G158">
        <v>8.5965309315275995</v>
      </c>
      <c r="H158">
        <v>6</v>
      </c>
      <c r="I158">
        <v>81</v>
      </c>
      <c r="J158" s="1" t="s">
        <v>12</v>
      </c>
      <c r="K158" s="1" t="s">
        <v>13</v>
      </c>
      <c r="L158" t="str" cm="1">
        <f t="array" ref="L158">_xlfn.IFS(B158&gt;-80,"Excellent",B158&gt;-95,"Good",B158&gt;-110,"Fair",  TRUE,"Poor")</f>
        <v>Excellent</v>
      </c>
      <c r="M158" s="1" t="str">
        <f t="shared" si="2"/>
        <v>Normal</v>
      </c>
    </row>
    <row r="159" spans="1:13" x14ac:dyDescent="0.3">
      <c r="A159" s="3">
        <v>44721.439606481479</v>
      </c>
      <c r="B159">
        <v>-92.310690111492306</v>
      </c>
      <c r="C159">
        <v>27.597487256490702</v>
      </c>
      <c r="D159">
        <v>1056.9081062232101</v>
      </c>
      <c r="E159" s="1" t="s">
        <v>18</v>
      </c>
      <c r="F159">
        <v>7.4701897808615296</v>
      </c>
      <c r="G159">
        <v>8.7871664027568599</v>
      </c>
      <c r="H159">
        <v>10</v>
      </c>
      <c r="I159">
        <v>50</v>
      </c>
      <c r="J159" s="1" t="s">
        <v>15</v>
      </c>
      <c r="K159" s="1" t="s">
        <v>13</v>
      </c>
      <c r="L159" t="str" cm="1">
        <f t="array" ref="L159">_xlfn.IFS(B159&gt;-80,"Excellent",B159&gt;-95,"Good",B159&gt;-110,"Fair",  TRUE,"Poor")</f>
        <v>Good</v>
      </c>
      <c r="M159" s="1" t="str">
        <f t="shared" si="2"/>
        <v>Normal</v>
      </c>
    </row>
    <row r="160" spans="1:13" x14ac:dyDescent="0.3">
      <c r="A160" s="3">
        <v>44722.634317129632</v>
      </c>
      <c r="B160">
        <v>-76.882703412308302</v>
      </c>
      <c r="C160">
        <v>27.8049710568799</v>
      </c>
      <c r="D160">
        <v>369.63824655503697</v>
      </c>
      <c r="E160" s="1" t="s">
        <v>14</v>
      </c>
      <c r="F160">
        <v>3.29339202567275</v>
      </c>
      <c r="G160">
        <v>9.6730194797289499</v>
      </c>
      <c r="H160">
        <v>1</v>
      </c>
      <c r="I160">
        <v>30</v>
      </c>
      <c r="J160" s="1" t="s">
        <v>12</v>
      </c>
      <c r="K160" s="1" t="s">
        <v>17</v>
      </c>
      <c r="L160" t="str" cm="1">
        <f t="array" ref="L160">_xlfn.IFS(B160&gt;-80,"Excellent",B160&gt;-95,"Good",B160&gt;-110,"Fair",  TRUE,"Poor")</f>
        <v>Excellent</v>
      </c>
      <c r="M160" s="1" t="str">
        <f t="shared" si="2"/>
        <v>Normal</v>
      </c>
    </row>
    <row r="161" spans="1:13" x14ac:dyDescent="0.3">
      <c r="A161" s="3">
        <v>44723.985821759263</v>
      </c>
      <c r="B161">
        <v>-103.123227211551</v>
      </c>
      <c r="C161">
        <v>17.331995772075601</v>
      </c>
      <c r="D161">
        <v>47.519581177619898</v>
      </c>
      <c r="E161" s="1" t="s">
        <v>11</v>
      </c>
      <c r="F161">
        <v>9.0796203572454797</v>
      </c>
      <c r="G161">
        <v>0.12076836622338</v>
      </c>
      <c r="H161">
        <v>4</v>
      </c>
      <c r="I161">
        <v>95</v>
      </c>
      <c r="J161" s="1" t="s">
        <v>15</v>
      </c>
      <c r="K161" s="1" t="s">
        <v>17</v>
      </c>
      <c r="L161" t="str" cm="1">
        <f t="array" ref="L161">_xlfn.IFS(B161&gt;-80,"Excellent",B161&gt;-95,"Good",B161&gt;-110,"Fair",  TRUE,"Poor")</f>
        <v>Fair</v>
      </c>
      <c r="M161" s="1" t="str">
        <f t="shared" si="2"/>
        <v>Normal</v>
      </c>
    </row>
    <row r="162" spans="1:13" x14ac:dyDescent="0.3">
      <c r="A162" s="3">
        <v>44724.420254629629</v>
      </c>
      <c r="B162">
        <v>-87.339285248335102</v>
      </c>
      <c r="C162">
        <v>12.087157479524899</v>
      </c>
      <c r="D162">
        <v>1738.3801276552599</v>
      </c>
      <c r="E162" s="1" t="s">
        <v>16</v>
      </c>
      <c r="F162">
        <v>3.7777096955651102</v>
      </c>
      <c r="G162">
        <v>0.70387690373965595</v>
      </c>
      <c r="H162">
        <v>8</v>
      </c>
      <c r="I162">
        <v>83</v>
      </c>
      <c r="J162" s="1" t="s">
        <v>15</v>
      </c>
      <c r="K162" s="1" t="s">
        <v>13</v>
      </c>
      <c r="L162" t="str" cm="1">
        <f t="array" ref="L162">_xlfn.IFS(B162&gt;-80,"Excellent",B162&gt;-95,"Good",B162&gt;-110,"Fair",  TRUE,"Poor")</f>
        <v>Good</v>
      </c>
      <c r="M162" s="1" t="str">
        <f t="shared" si="2"/>
        <v>Normal</v>
      </c>
    </row>
    <row r="163" spans="1:13" x14ac:dyDescent="0.3">
      <c r="A163" s="3">
        <v>44725.84270833333</v>
      </c>
      <c r="B163">
        <v>-101.002100973339</v>
      </c>
      <c r="C163">
        <v>27.7027637915991</v>
      </c>
      <c r="D163">
        <v>1625.43691364442</v>
      </c>
      <c r="E163" s="1" t="s">
        <v>18</v>
      </c>
      <c r="F163">
        <v>3.2292901410254902</v>
      </c>
      <c r="G163">
        <v>8.95091713243621</v>
      </c>
      <c r="H163">
        <v>7</v>
      </c>
      <c r="I163">
        <v>38</v>
      </c>
      <c r="J163" s="1" t="s">
        <v>15</v>
      </c>
      <c r="K163" s="1" t="s">
        <v>17</v>
      </c>
      <c r="L163" t="str" cm="1">
        <f t="array" ref="L163">_xlfn.IFS(B163&gt;-80,"Excellent",B163&gt;-95,"Good",B163&gt;-110,"Fair",  TRUE,"Poor")</f>
        <v>Fair</v>
      </c>
      <c r="M163" s="1" t="str">
        <f t="shared" si="2"/>
        <v>Normal</v>
      </c>
    </row>
    <row r="164" spans="1:13" x14ac:dyDescent="0.3">
      <c r="A164" s="3">
        <v>44726.483518518522</v>
      </c>
      <c r="B164">
        <v>-83.023047092998397</v>
      </c>
      <c r="C164">
        <v>21.0000849881541</v>
      </c>
      <c r="D164">
        <v>559.34094025489799</v>
      </c>
      <c r="E164" s="1" t="s">
        <v>11</v>
      </c>
      <c r="F164">
        <v>12.504612687102499</v>
      </c>
      <c r="G164">
        <v>7.2683701429858498</v>
      </c>
      <c r="H164">
        <v>9</v>
      </c>
      <c r="I164">
        <v>43</v>
      </c>
      <c r="J164" s="1" t="s">
        <v>12</v>
      </c>
      <c r="K164" s="1" t="s">
        <v>17</v>
      </c>
      <c r="L164" t="str" cm="1">
        <f t="array" ref="L164">_xlfn.IFS(B164&gt;-80,"Excellent",B164&gt;-95,"Good",B164&gt;-110,"Fair",  TRUE,"Poor")</f>
        <v>Good</v>
      </c>
      <c r="M164" s="1" t="str">
        <f t="shared" si="2"/>
        <v>High Loss</v>
      </c>
    </row>
    <row r="165" spans="1:13" x14ac:dyDescent="0.3">
      <c r="A165" s="3">
        <v>44727.776041666664</v>
      </c>
      <c r="B165">
        <v>-95.488834352635607</v>
      </c>
      <c r="C165">
        <v>22.873429407371901</v>
      </c>
      <c r="D165">
        <v>1016.57085365952</v>
      </c>
      <c r="E165" s="1" t="s">
        <v>14</v>
      </c>
      <c r="F165">
        <v>5.94412110760166</v>
      </c>
      <c r="G165">
        <v>4.8245013627497899</v>
      </c>
      <c r="H165">
        <v>9</v>
      </c>
      <c r="I165">
        <v>27</v>
      </c>
      <c r="J165" s="1" t="s">
        <v>15</v>
      </c>
      <c r="K165" s="1" t="s">
        <v>13</v>
      </c>
      <c r="L165" t="str" cm="1">
        <f t="array" ref="L165">_xlfn.IFS(B165&gt;-80,"Excellent",B165&gt;-95,"Good",B165&gt;-110,"Fair",  TRUE,"Poor")</f>
        <v>Fair</v>
      </c>
      <c r="M165" s="1" t="str">
        <f t="shared" si="2"/>
        <v>Normal</v>
      </c>
    </row>
    <row r="166" spans="1:13" x14ac:dyDescent="0.3">
      <c r="A166" s="3">
        <v>44728.890543981484</v>
      </c>
      <c r="B166">
        <v>-102.93200424868201</v>
      </c>
      <c r="C166">
        <v>27.513388731628599</v>
      </c>
      <c r="D166">
        <v>231.77766610391399</v>
      </c>
      <c r="E166" s="1" t="s">
        <v>18</v>
      </c>
      <c r="F166">
        <v>5.7790579794427401</v>
      </c>
      <c r="G166">
        <v>4.5428577630580298</v>
      </c>
      <c r="H166">
        <v>5</v>
      </c>
      <c r="I166">
        <v>77</v>
      </c>
      <c r="J166" s="1" t="s">
        <v>12</v>
      </c>
      <c r="K166" s="1" t="s">
        <v>13</v>
      </c>
      <c r="L166" t="str" cm="1">
        <f t="array" ref="L166">_xlfn.IFS(B166&gt;-80,"Excellent",B166&gt;-95,"Good",B166&gt;-110,"Fair",  TRUE,"Poor")</f>
        <v>Fair</v>
      </c>
      <c r="M166" s="1" t="str">
        <f t="shared" si="2"/>
        <v>Normal</v>
      </c>
    </row>
    <row r="167" spans="1:13" x14ac:dyDescent="0.3">
      <c r="A167" s="3">
        <v>44729.487500000003</v>
      </c>
      <c r="B167">
        <v>-82.718810470389997</v>
      </c>
      <c r="C167">
        <v>10.296910753500301</v>
      </c>
      <c r="D167">
        <v>1117.03185708203</v>
      </c>
      <c r="E167" s="1" t="s">
        <v>18</v>
      </c>
      <c r="F167">
        <v>6.25850265105489</v>
      </c>
      <c r="G167">
        <v>4.3626137018368798</v>
      </c>
      <c r="H167">
        <v>8</v>
      </c>
      <c r="I167">
        <v>86</v>
      </c>
      <c r="J167" s="1" t="s">
        <v>12</v>
      </c>
      <c r="K167" s="1" t="s">
        <v>13</v>
      </c>
      <c r="L167" t="str" cm="1">
        <f t="array" ref="L167">_xlfn.IFS(B167&gt;-80,"Excellent",B167&gt;-95,"Good",B167&gt;-110,"Fair",  TRUE,"Poor")</f>
        <v>Good</v>
      </c>
      <c r="M167" s="1" t="str">
        <f t="shared" si="2"/>
        <v>Normal</v>
      </c>
    </row>
    <row r="168" spans="1:13" x14ac:dyDescent="0.3">
      <c r="A168" s="3">
        <v>44730.600057870368</v>
      </c>
      <c r="B168">
        <v>-95.229278750821607</v>
      </c>
      <c r="C168">
        <v>24.161193164748401</v>
      </c>
      <c r="D168">
        <v>1424.9901732620301</v>
      </c>
      <c r="E168" s="1" t="s">
        <v>14</v>
      </c>
      <c r="F168">
        <v>5.9622289513906299</v>
      </c>
      <c r="G168">
        <v>4.0499538571216904</v>
      </c>
      <c r="H168">
        <v>1</v>
      </c>
      <c r="I168">
        <v>76</v>
      </c>
      <c r="J168" s="1" t="s">
        <v>15</v>
      </c>
      <c r="K168" s="1" t="s">
        <v>13</v>
      </c>
      <c r="L168" t="str" cm="1">
        <f t="array" ref="L168">_xlfn.IFS(B168&gt;-80,"Excellent",B168&gt;-95,"Good",B168&gt;-110,"Fair",  TRUE,"Poor")</f>
        <v>Fair</v>
      </c>
      <c r="M168" s="1" t="str">
        <f t="shared" si="2"/>
        <v>Normal</v>
      </c>
    </row>
    <row r="169" spans="1:13" x14ac:dyDescent="0.3">
      <c r="A169" s="3">
        <v>44731.740729166668</v>
      </c>
      <c r="B169">
        <v>-82.005765486568393</v>
      </c>
      <c r="C169">
        <v>19.6496746381045</v>
      </c>
      <c r="D169">
        <v>418.26739583608997</v>
      </c>
      <c r="E169" s="1" t="s">
        <v>14</v>
      </c>
      <c r="F169">
        <v>2.4586102180920002</v>
      </c>
      <c r="G169">
        <v>7.0133278352199397</v>
      </c>
      <c r="H169">
        <v>10</v>
      </c>
      <c r="I169">
        <v>69</v>
      </c>
      <c r="J169" s="1" t="s">
        <v>15</v>
      </c>
      <c r="K169" s="1" t="s">
        <v>13</v>
      </c>
      <c r="L169" t="str" cm="1">
        <f t="array" ref="L169">_xlfn.IFS(B169&gt;-80,"Excellent",B169&gt;-95,"Good",B169&gt;-110,"Fair",  TRUE,"Poor")</f>
        <v>Good</v>
      </c>
      <c r="M169" s="1" t="str">
        <f t="shared" si="2"/>
        <v>Normal</v>
      </c>
    </row>
    <row r="170" spans="1:13" x14ac:dyDescent="0.3">
      <c r="A170" s="3">
        <v>44732.942812499998</v>
      </c>
      <c r="B170">
        <v>-107.457408949694</v>
      </c>
      <c r="C170">
        <v>11.354301914763001</v>
      </c>
      <c r="D170">
        <v>176.88002379684099</v>
      </c>
      <c r="E170" s="1" t="s">
        <v>16</v>
      </c>
      <c r="F170">
        <v>2.09867693903692</v>
      </c>
      <c r="G170">
        <v>3.3264266851256701</v>
      </c>
      <c r="H170">
        <v>8</v>
      </c>
      <c r="I170">
        <v>2</v>
      </c>
      <c r="J170" s="1" t="s">
        <v>12</v>
      </c>
      <c r="K170" s="1" t="s">
        <v>13</v>
      </c>
      <c r="L170" t="str" cm="1">
        <f t="array" ref="L170">_xlfn.IFS(B170&gt;-80,"Excellent",B170&gt;-95,"Good",B170&gt;-110,"Fair",  TRUE,"Poor")</f>
        <v>Fair</v>
      </c>
      <c r="M170" s="1" t="str">
        <f t="shared" si="2"/>
        <v>Normal</v>
      </c>
    </row>
    <row r="171" spans="1:13" x14ac:dyDescent="0.3">
      <c r="A171" s="3">
        <v>44733.717129629629</v>
      </c>
      <c r="B171">
        <v>-92.632873289645303</v>
      </c>
      <c r="C171">
        <v>17.642345246808802</v>
      </c>
      <c r="D171">
        <v>1500.4580157712801</v>
      </c>
      <c r="E171" s="1" t="s">
        <v>11</v>
      </c>
      <c r="F171">
        <v>11.0457441196254</v>
      </c>
      <c r="G171">
        <v>7.2402968879587002</v>
      </c>
      <c r="H171">
        <v>8</v>
      </c>
      <c r="I171">
        <v>86</v>
      </c>
      <c r="J171" s="1" t="s">
        <v>15</v>
      </c>
      <c r="K171" s="1" t="s">
        <v>17</v>
      </c>
      <c r="L171" t="str" cm="1">
        <f t="array" ref="L171">_xlfn.IFS(B171&gt;-80,"Excellent",B171&gt;-95,"Good",B171&gt;-110,"Fair",  TRUE,"Poor")</f>
        <v>Good</v>
      </c>
      <c r="M171" s="1" t="str">
        <f t="shared" si="2"/>
        <v>High Loss</v>
      </c>
    </row>
    <row r="172" spans="1:13" x14ac:dyDescent="0.3">
      <c r="A172" s="3">
        <v>44734.861192129632</v>
      </c>
      <c r="B172">
        <v>-74.739268177801193</v>
      </c>
      <c r="C172">
        <v>18.336322082989302</v>
      </c>
      <c r="D172">
        <v>1585.6282343508999</v>
      </c>
      <c r="E172" s="1" t="s">
        <v>14</v>
      </c>
      <c r="F172">
        <v>9.9736121345200104</v>
      </c>
      <c r="G172">
        <v>5.6927392138102197</v>
      </c>
      <c r="H172">
        <v>3</v>
      </c>
      <c r="I172">
        <v>46</v>
      </c>
      <c r="J172" s="1" t="s">
        <v>15</v>
      </c>
      <c r="K172" s="1" t="s">
        <v>17</v>
      </c>
      <c r="L172" t="str" cm="1">
        <f t="array" ref="L172">_xlfn.IFS(B172&gt;-80,"Excellent",B172&gt;-95,"Good",B172&gt;-110,"Fair",  TRUE,"Poor")</f>
        <v>Excellent</v>
      </c>
      <c r="M172" s="1" t="str">
        <f t="shared" si="2"/>
        <v>Normal</v>
      </c>
    </row>
    <row r="173" spans="1:13" x14ac:dyDescent="0.3">
      <c r="A173" s="3">
        <v>44735.534050925926</v>
      </c>
      <c r="B173">
        <v>-92.731000050440599</v>
      </c>
      <c r="C173">
        <v>13.793579816353301</v>
      </c>
      <c r="D173">
        <v>172.88727527080201</v>
      </c>
      <c r="E173" s="1" t="s">
        <v>18</v>
      </c>
      <c r="F173">
        <v>7.0737488401926498</v>
      </c>
      <c r="G173">
        <v>6.02246833373108</v>
      </c>
      <c r="H173">
        <v>9</v>
      </c>
      <c r="I173">
        <v>86</v>
      </c>
      <c r="J173" s="1" t="s">
        <v>15</v>
      </c>
      <c r="K173" s="1" t="s">
        <v>17</v>
      </c>
      <c r="L173" t="str" cm="1">
        <f t="array" ref="L173">_xlfn.IFS(B173&gt;-80,"Excellent",B173&gt;-95,"Good",B173&gt;-110,"Fair",  TRUE,"Poor")</f>
        <v>Good</v>
      </c>
      <c r="M173" s="1" t="str">
        <f t="shared" si="2"/>
        <v>Normal</v>
      </c>
    </row>
    <row r="174" spans="1:13" x14ac:dyDescent="0.3">
      <c r="A174" s="3">
        <v>44736.634270833332</v>
      </c>
      <c r="B174">
        <v>-88.822496335120604</v>
      </c>
      <c r="C174">
        <v>23.228831435687798</v>
      </c>
      <c r="D174">
        <v>1633.92877379785</v>
      </c>
      <c r="E174" s="1" t="s">
        <v>18</v>
      </c>
      <c r="F174">
        <v>5.9975673121147004</v>
      </c>
      <c r="G174">
        <v>8.9217050527090205</v>
      </c>
      <c r="H174">
        <v>4</v>
      </c>
      <c r="I174">
        <v>30</v>
      </c>
      <c r="J174" s="1" t="s">
        <v>12</v>
      </c>
      <c r="K174" s="1" t="s">
        <v>13</v>
      </c>
      <c r="L174" t="str" cm="1">
        <f t="array" ref="L174">_xlfn.IFS(B174&gt;-80,"Excellent",B174&gt;-95,"Good",B174&gt;-110,"Fair",  TRUE,"Poor")</f>
        <v>Good</v>
      </c>
      <c r="M174" s="1" t="str">
        <f t="shared" si="2"/>
        <v>Normal</v>
      </c>
    </row>
    <row r="175" spans="1:13" x14ac:dyDescent="0.3">
      <c r="A175" s="3">
        <v>44737.864641203705</v>
      </c>
      <c r="B175">
        <v>-78.118605342706502</v>
      </c>
      <c r="C175">
        <v>13.886960564801599</v>
      </c>
      <c r="D175">
        <v>370.89305424204002</v>
      </c>
      <c r="E175" s="1" t="s">
        <v>16</v>
      </c>
      <c r="F175">
        <v>2.44615598856966</v>
      </c>
      <c r="G175">
        <v>2.03706328114363</v>
      </c>
      <c r="H175">
        <v>6</v>
      </c>
      <c r="I175">
        <v>70</v>
      </c>
      <c r="J175" s="1" t="s">
        <v>12</v>
      </c>
      <c r="K175" s="1" t="s">
        <v>13</v>
      </c>
      <c r="L175" t="str" cm="1">
        <f t="array" ref="L175">_xlfn.IFS(B175&gt;-80,"Excellent",B175&gt;-95,"Good",B175&gt;-110,"Fair",  TRUE,"Poor")</f>
        <v>Excellent</v>
      </c>
      <c r="M175" s="1" t="str">
        <f t="shared" si="2"/>
        <v>Normal</v>
      </c>
    </row>
    <row r="176" spans="1:13" x14ac:dyDescent="0.3">
      <c r="A176" s="3">
        <v>44738.605300925927</v>
      </c>
      <c r="B176">
        <v>-77.912610347042005</v>
      </c>
      <c r="C176">
        <v>14.8059285517493</v>
      </c>
      <c r="D176">
        <v>580.54954168056895</v>
      </c>
      <c r="E176" s="1" t="s">
        <v>16</v>
      </c>
      <c r="F176">
        <v>0.69265990006004896</v>
      </c>
      <c r="G176">
        <v>6.2128828412684802</v>
      </c>
      <c r="H176">
        <v>8</v>
      </c>
      <c r="I176">
        <v>10</v>
      </c>
      <c r="J176" s="1" t="s">
        <v>15</v>
      </c>
      <c r="K176" s="1" t="s">
        <v>13</v>
      </c>
      <c r="L176" t="str" cm="1">
        <f t="array" ref="L176">_xlfn.IFS(B176&gt;-80,"Excellent",B176&gt;-95,"Good",B176&gt;-110,"Fair",  TRUE,"Poor")</f>
        <v>Excellent</v>
      </c>
      <c r="M176" s="1" t="str">
        <f t="shared" si="2"/>
        <v>Normal</v>
      </c>
    </row>
    <row r="177" spans="1:13" x14ac:dyDescent="0.3">
      <c r="A177" s="3">
        <v>44739.886412037034</v>
      </c>
      <c r="B177">
        <v>-100.321439310516</v>
      </c>
      <c r="C177">
        <v>24.0913898225376</v>
      </c>
      <c r="D177">
        <v>710.86256989628498</v>
      </c>
      <c r="E177" s="1" t="s">
        <v>11</v>
      </c>
      <c r="F177">
        <v>14.8537366839074</v>
      </c>
      <c r="G177">
        <v>5.3365699968368396</v>
      </c>
      <c r="H177">
        <v>1</v>
      </c>
      <c r="I177">
        <v>2</v>
      </c>
      <c r="J177" s="1" t="s">
        <v>12</v>
      </c>
      <c r="K177" s="1" t="s">
        <v>13</v>
      </c>
      <c r="L177" t="str" cm="1">
        <f t="array" ref="L177">_xlfn.IFS(B177&gt;-80,"Excellent",B177&gt;-95,"Good",B177&gt;-110,"Fair",  TRUE,"Poor")</f>
        <v>Fair</v>
      </c>
      <c r="M177" s="1" t="str">
        <f t="shared" si="2"/>
        <v>High Loss</v>
      </c>
    </row>
    <row r="178" spans="1:13" x14ac:dyDescent="0.3">
      <c r="A178" s="3">
        <v>44740.497974537036</v>
      </c>
      <c r="B178">
        <v>-70.548224695194605</v>
      </c>
      <c r="C178">
        <v>13.318533964109699</v>
      </c>
      <c r="D178">
        <v>924.96331983087202</v>
      </c>
      <c r="E178" s="1" t="s">
        <v>18</v>
      </c>
      <c r="F178">
        <v>3.1938401127704799</v>
      </c>
      <c r="G178">
        <v>1.41459413785082</v>
      </c>
      <c r="H178">
        <v>7</v>
      </c>
      <c r="I178">
        <v>4</v>
      </c>
      <c r="J178" s="1" t="s">
        <v>12</v>
      </c>
      <c r="K178" s="1" t="s">
        <v>13</v>
      </c>
      <c r="L178" t="str" cm="1">
        <f t="array" ref="L178">_xlfn.IFS(B178&gt;-80,"Excellent",B178&gt;-95,"Good",B178&gt;-110,"Fair",  TRUE,"Poor")</f>
        <v>Excellent</v>
      </c>
      <c r="M178" s="1" t="str">
        <f t="shared" si="2"/>
        <v>Normal</v>
      </c>
    </row>
    <row r="179" spans="1:13" x14ac:dyDescent="0.3">
      <c r="A179" s="3">
        <v>44741.601377314815</v>
      </c>
      <c r="B179">
        <v>-90.775668570106902</v>
      </c>
      <c r="C179">
        <v>11.8387033271191</v>
      </c>
      <c r="D179">
        <v>1044.1144212187</v>
      </c>
      <c r="E179" s="1" t="s">
        <v>18</v>
      </c>
      <c r="F179">
        <v>2.74880560746809</v>
      </c>
      <c r="G179">
        <v>9.3825840804987592</v>
      </c>
      <c r="H179">
        <v>9</v>
      </c>
      <c r="I179">
        <v>68</v>
      </c>
      <c r="J179" s="1" t="s">
        <v>12</v>
      </c>
      <c r="K179" s="1" t="s">
        <v>17</v>
      </c>
      <c r="L179" t="str" cm="1">
        <f t="array" ref="L179">_xlfn.IFS(B179&gt;-80,"Excellent",B179&gt;-95,"Good",B179&gt;-110,"Fair",  TRUE,"Poor")</f>
        <v>Good</v>
      </c>
      <c r="M179" s="1" t="str">
        <f t="shared" si="2"/>
        <v>Normal</v>
      </c>
    </row>
    <row r="180" spans="1:13" x14ac:dyDescent="0.3">
      <c r="A180" s="3">
        <v>44742.639988425923</v>
      </c>
      <c r="B180">
        <v>-69.550831238736293</v>
      </c>
      <c r="C180">
        <v>17.9485866302565</v>
      </c>
      <c r="D180">
        <v>1400.62963758604</v>
      </c>
      <c r="E180" s="1" t="s">
        <v>16</v>
      </c>
      <c r="F180">
        <v>1.8227660419865599</v>
      </c>
      <c r="G180">
        <v>8.8121671784110998</v>
      </c>
      <c r="H180">
        <v>1</v>
      </c>
      <c r="I180">
        <v>70</v>
      </c>
      <c r="J180" s="1" t="s">
        <v>12</v>
      </c>
      <c r="K180" s="1" t="s">
        <v>17</v>
      </c>
      <c r="L180" t="str" cm="1">
        <f t="array" ref="L180">_xlfn.IFS(B180&gt;-80,"Excellent",B180&gt;-95,"Good",B180&gt;-110,"Fair",  TRUE,"Poor")</f>
        <v>Excellent</v>
      </c>
      <c r="M180" s="1" t="str">
        <f t="shared" si="2"/>
        <v>Normal</v>
      </c>
    </row>
    <row r="181" spans="1:13" x14ac:dyDescent="0.3">
      <c r="A181" s="3">
        <v>44743.443969907406</v>
      </c>
      <c r="B181">
        <v>-112.260333813944</v>
      </c>
      <c r="C181">
        <v>18.391576856010499</v>
      </c>
      <c r="D181">
        <v>58.148009626072501</v>
      </c>
      <c r="E181" s="1" t="s">
        <v>16</v>
      </c>
      <c r="F181">
        <v>2.3028573815494502</v>
      </c>
      <c r="G181">
        <v>2.6943676563304901</v>
      </c>
      <c r="H181">
        <v>9</v>
      </c>
      <c r="I181">
        <v>73</v>
      </c>
      <c r="J181" s="1" t="s">
        <v>15</v>
      </c>
      <c r="K181" s="1" t="s">
        <v>13</v>
      </c>
      <c r="L181" t="str" cm="1">
        <f t="array" ref="L181">_xlfn.IFS(B181&gt;-80,"Excellent",B181&gt;-95,"Good",B181&gt;-110,"Fair",  TRUE,"Poor")</f>
        <v>Poor</v>
      </c>
      <c r="M181" s="1" t="str">
        <f t="shared" si="2"/>
        <v>Normal</v>
      </c>
    </row>
    <row r="182" spans="1:13" x14ac:dyDescent="0.3">
      <c r="A182" s="3">
        <v>44744.480810185189</v>
      </c>
      <c r="B182">
        <v>-63.074022373888603</v>
      </c>
      <c r="C182">
        <v>20.477238822348198</v>
      </c>
      <c r="D182">
        <v>918.44668643992202</v>
      </c>
      <c r="E182" s="1" t="s">
        <v>14</v>
      </c>
      <c r="F182">
        <v>9.5289159383073301</v>
      </c>
      <c r="G182">
        <v>0.59341547693570795</v>
      </c>
      <c r="H182">
        <v>8</v>
      </c>
      <c r="I182">
        <v>61</v>
      </c>
      <c r="J182" s="1" t="s">
        <v>15</v>
      </c>
      <c r="K182" s="1" t="s">
        <v>13</v>
      </c>
      <c r="L182" t="str" cm="1">
        <f t="array" ref="L182">_xlfn.IFS(B182&gt;-80,"Excellent",B182&gt;-95,"Good",B182&gt;-110,"Fair",  TRUE,"Poor")</f>
        <v>Excellent</v>
      </c>
      <c r="M182" s="1" t="str">
        <f t="shared" si="2"/>
        <v>Normal</v>
      </c>
    </row>
    <row r="183" spans="1:13" x14ac:dyDescent="0.3">
      <c r="A183" s="3">
        <v>44745.609259259261</v>
      </c>
      <c r="B183">
        <v>-87.506781819743296</v>
      </c>
      <c r="C183">
        <v>20.836306160546201</v>
      </c>
      <c r="D183">
        <v>1417.37212837672</v>
      </c>
      <c r="E183" s="1" t="s">
        <v>11</v>
      </c>
      <c r="F183">
        <v>6.4947012461701803</v>
      </c>
      <c r="G183">
        <v>1.83834054393281</v>
      </c>
      <c r="H183">
        <v>2</v>
      </c>
      <c r="I183">
        <v>16</v>
      </c>
      <c r="J183" s="1" t="s">
        <v>15</v>
      </c>
      <c r="K183" s="1" t="s">
        <v>13</v>
      </c>
      <c r="L183" t="str" cm="1">
        <f t="array" ref="L183">_xlfn.IFS(B183&gt;-80,"Excellent",B183&gt;-95,"Good",B183&gt;-110,"Fair",  TRUE,"Poor")</f>
        <v>Good</v>
      </c>
      <c r="M183" s="1" t="str">
        <f t="shared" si="2"/>
        <v>Normal</v>
      </c>
    </row>
    <row r="184" spans="1:13" x14ac:dyDescent="0.3">
      <c r="A184" s="3">
        <v>44746.648541666669</v>
      </c>
      <c r="B184">
        <v>-79.164858756801806</v>
      </c>
      <c r="C184">
        <v>25.838420511594201</v>
      </c>
      <c r="D184">
        <v>920.13214846245501</v>
      </c>
      <c r="E184" s="1" t="s">
        <v>11</v>
      </c>
      <c r="F184">
        <v>8.6765166077716191</v>
      </c>
      <c r="G184">
        <v>9.5926176464504191</v>
      </c>
      <c r="H184">
        <v>4</v>
      </c>
      <c r="I184">
        <v>39</v>
      </c>
      <c r="J184" s="1" t="s">
        <v>15</v>
      </c>
      <c r="K184" s="1" t="s">
        <v>13</v>
      </c>
      <c r="L184" t="str" cm="1">
        <f t="array" ref="L184">_xlfn.IFS(B184&gt;-80,"Excellent",B184&gt;-95,"Good",B184&gt;-110,"Fair",  TRUE,"Poor")</f>
        <v>Excellent</v>
      </c>
      <c r="M184" s="1" t="str">
        <f t="shared" si="2"/>
        <v>Normal</v>
      </c>
    </row>
    <row r="185" spans="1:13" x14ac:dyDescent="0.3">
      <c r="A185" s="3">
        <v>44747.762488425928</v>
      </c>
      <c r="B185">
        <v>-64.799653203306207</v>
      </c>
      <c r="C185">
        <v>14.5746826459555</v>
      </c>
      <c r="D185">
        <v>1081.4662713896901</v>
      </c>
      <c r="E185" s="1" t="s">
        <v>14</v>
      </c>
      <c r="F185">
        <v>8.7801092116453692</v>
      </c>
      <c r="G185">
        <v>7.2731946976744597</v>
      </c>
      <c r="H185">
        <v>7</v>
      </c>
      <c r="I185">
        <v>44</v>
      </c>
      <c r="J185" s="1" t="s">
        <v>12</v>
      </c>
      <c r="K185" s="1" t="s">
        <v>17</v>
      </c>
      <c r="L185" t="str" cm="1">
        <f t="array" ref="L185">_xlfn.IFS(B185&gt;-80,"Excellent",B185&gt;-95,"Good",B185&gt;-110,"Fair",  TRUE,"Poor")</f>
        <v>Excellent</v>
      </c>
      <c r="M185" s="1" t="str">
        <f t="shared" si="2"/>
        <v>Normal</v>
      </c>
    </row>
    <row r="186" spans="1:13" x14ac:dyDescent="0.3">
      <c r="A186" s="3">
        <v>44748.545659722222</v>
      </c>
      <c r="B186">
        <v>-69.805327426150598</v>
      </c>
      <c r="C186">
        <v>23.765780515774701</v>
      </c>
      <c r="D186">
        <v>1716.69715194477</v>
      </c>
      <c r="E186" s="1" t="s">
        <v>14</v>
      </c>
      <c r="F186">
        <v>8.31966736796549</v>
      </c>
      <c r="G186">
        <v>9.5165897814205902</v>
      </c>
      <c r="H186">
        <v>5</v>
      </c>
      <c r="I186">
        <v>45</v>
      </c>
      <c r="J186" s="1" t="s">
        <v>12</v>
      </c>
      <c r="K186" s="1" t="s">
        <v>17</v>
      </c>
      <c r="L186" t="str" cm="1">
        <f t="array" ref="L186">_xlfn.IFS(B186&gt;-80,"Excellent",B186&gt;-95,"Good",B186&gt;-110,"Fair",  TRUE,"Poor")</f>
        <v>Excellent</v>
      </c>
      <c r="M186" s="1" t="str">
        <f t="shared" si="2"/>
        <v>Normal</v>
      </c>
    </row>
    <row r="187" spans="1:13" x14ac:dyDescent="0.3">
      <c r="A187" s="3">
        <v>44749.650949074072</v>
      </c>
      <c r="B187">
        <v>-105.43347023941701</v>
      </c>
      <c r="C187">
        <v>26.190326299513</v>
      </c>
      <c r="D187">
        <v>1363.2092163314401</v>
      </c>
      <c r="E187" s="1" t="s">
        <v>16</v>
      </c>
      <c r="F187">
        <v>4.4955200100260502</v>
      </c>
      <c r="G187">
        <v>8.0129483467619593</v>
      </c>
      <c r="H187">
        <v>6</v>
      </c>
      <c r="I187">
        <v>15</v>
      </c>
      <c r="J187" s="1" t="s">
        <v>15</v>
      </c>
      <c r="K187" s="1" t="s">
        <v>17</v>
      </c>
      <c r="L187" t="str" cm="1">
        <f t="array" ref="L187">_xlfn.IFS(B187&gt;-80,"Excellent",B187&gt;-95,"Good",B187&gt;-110,"Fair",  TRUE,"Poor")</f>
        <v>Fair</v>
      </c>
      <c r="M187" s="1" t="str">
        <f t="shared" si="2"/>
        <v>Normal</v>
      </c>
    </row>
    <row r="188" spans="1:13" x14ac:dyDescent="0.3">
      <c r="A188" s="3">
        <v>44750.932754629626</v>
      </c>
      <c r="B188">
        <v>-104.92385016902</v>
      </c>
      <c r="C188">
        <v>14.283910467655</v>
      </c>
      <c r="D188">
        <v>315.76866500715801</v>
      </c>
      <c r="E188" s="1" t="s">
        <v>18</v>
      </c>
      <c r="F188">
        <v>4.7241528267352102</v>
      </c>
      <c r="G188">
        <v>5.9577131071371596</v>
      </c>
      <c r="H188">
        <v>4</v>
      </c>
      <c r="I188">
        <v>71</v>
      </c>
      <c r="J188" s="1" t="s">
        <v>15</v>
      </c>
      <c r="K188" s="1" t="s">
        <v>17</v>
      </c>
      <c r="L188" t="str" cm="1">
        <f t="array" ref="L188">_xlfn.IFS(B188&gt;-80,"Excellent",B188&gt;-95,"Good",B188&gt;-110,"Fair",  TRUE,"Poor")</f>
        <v>Fair</v>
      </c>
      <c r="M188" s="1" t="str">
        <f t="shared" si="2"/>
        <v>Normal</v>
      </c>
    </row>
    <row r="189" spans="1:13" x14ac:dyDescent="0.3">
      <c r="A189" s="3">
        <v>44751.597013888888</v>
      </c>
      <c r="B189">
        <v>-89.974072638242006</v>
      </c>
      <c r="C189">
        <v>14.331735051120299</v>
      </c>
      <c r="D189">
        <v>77.854180391601901</v>
      </c>
      <c r="E189" s="1" t="s">
        <v>11</v>
      </c>
      <c r="F189">
        <v>14.2187855439728</v>
      </c>
      <c r="G189">
        <v>1.02031285949688</v>
      </c>
      <c r="H189">
        <v>3</v>
      </c>
      <c r="I189">
        <v>66</v>
      </c>
      <c r="J189" s="1" t="s">
        <v>15</v>
      </c>
      <c r="K189" s="1" t="s">
        <v>13</v>
      </c>
      <c r="L189" t="str" cm="1">
        <f t="array" ref="L189">_xlfn.IFS(B189&gt;-80,"Excellent",B189&gt;-95,"Good",B189&gt;-110,"Fair",  TRUE,"Poor")</f>
        <v>Good</v>
      </c>
      <c r="M189" s="1" t="str">
        <f t="shared" si="2"/>
        <v>High Loss</v>
      </c>
    </row>
    <row r="190" spans="1:13" x14ac:dyDescent="0.3">
      <c r="A190" s="3">
        <v>44752.578553240739</v>
      </c>
      <c r="B190">
        <v>-80.837131863153203</v>
      </c>
      <c r="C190">
        <v>20.749828494266801</v>
      </c>
      <c r="D190">
        <v>933.33336209782999</v>
      </c>
      <c r="E190" s="1" t="s">
        <v>11</v>
      </c>
      <c r="F190">
        <v>12.060405323898999</v>
      </c>
      <c r="G190">
        <v>1.2446717640549501</v>
      </c>
      <c r="H190">
        <v>3</v>
      </c>
      <c r="I190">
        <v>99</v>
      </c>
      <c r="J190" s="1" t="s">
        <v>15</v>
      </c>
      <c r="K190" s="1" t="s">
        <v>17</v>
      </c>
      <c r="L190" t="str" cm="1">
        <f t="array" ref="L190">_xlfn.IFS(B190&gt;-80,"Excellent",B190&gt;-95,"Good",B190&gt;-110,"Fair",  TRUE,"Poor")</f>
        <v>Good</v>
      </c>
      <c r="M190" s="1" t="str">
        <f t="shared" si="2"/>
        <v>High Loss</v>
      </c>
    </row>
    <row r="191" spans="1:13" x14ac:dyDescent="0.3">
      <c r="A191" s="3">
        <v>44753.599328703705</v>
      </c>
      <c r="B191">
        <v>-76.560880665120393</v>
      </c>
      <c r="C191">
        <v>25.320592922177401</v>
      </c>
      <c r="D191">
        <v>1007.63300537895</v>
      </c>
      <c r="E191" s="1" t="s">
        <v>16</v>
      </c>
      <c r="F191">
        <v>3.1213007070905601</v>
      </c>
      <c r="G191">
        <v>0.62584034859621496</v>
      </c>
      <c r="H191">
        <v>8</v>
      </c>
      <c r="I191">
        <v>99</v>
      </c>
      <c r="J191" s="1" t="s">
        <v>12</v>
      </c>
      <c r="K191" s="1" t="s">
        <v>13</v>
      </c>
      <c r="L191" t="str" cm="1">
        <f t="array" ref="L191">_xlfn.IFS(B191&gt;-80,"Excellent",B191&gt;-95,"Good",B191&gt;-110,"Fair",  TRUE,"Poor")</f>
        <v>Excellent</v>
      </c>
      <c r="M191" s="1" t="str">
        <f t="shared" si="2"/>
        <v>Normal</v>
      </c>
    </row>
    <row r="192" spans="1:13" x14ac:dyDescent="0.3">
      <c r="A192" s="3">
        <v>44754.400763888887</v>
      </c>
      <c r="B192">
        <v>-82.639175278213301</v>
      </c>
      <c r="C192">
        <v>11.2099218568935</v>
      </c>
      <c r="D192">
        <v>1770.08627435274</v>
      </c>
      <c r="E192" s="1" t="s">
        <v>18</v>
      </c>
      <c r="F192">
        <v>5.2546565279592601</v>
      </c>
      <c r="G192">
        <v>9.9292799690958997</v>
      </c>
      <c r="H192">
        <v>8</v>
      </c>
      <c r="I192">
        <v>6</v>
      </c>
      <c r="J192" s="1" t="s">
        <v>15</v>
      </c>
      <c r="K192" s="1" t="s">
        <v>17</v>
      </c>
      <c r="L192" t="str" cm="1">
        <f t="array" ref="L192">_xlfn.IFS(B192&gt;-80,"Excellent",B192&gt;-95,"Good",B192&gt;-110,"Fair",  TRUE,"Poor")</f>
        <v>Good</v>
      </c>
      <c r="M192" s="1" t="str">
        <f t="shared" si="2"/>
        <v>Normal</v>
      </c>
    </row>
    <row r="193" spans="1:13" x14ac:dyDescent="0.3">
      <c r="A193" s="3">
        <v>44755.770740740743</v>
      </c>
      <c r="B193">
        <v>-111.403356631093</v>
      </c>
      <c r="C193">
        <v>15.5327169357604</v>
      </c>
      <c r="D193">
        <v>773.12280674696501</v>
      </c>
      <c r="E193" s="1" t="s">
        <v>16</v>
      </c>
      <c r="F193">
        <v>0.41627628977590297</v>
      </c>
      <c r="G193">
        <v>1.39522620114308</v>
      </c>
      <c r="H193">
        <v>3</v>
      </c>
      <c r="I193">
        <v>48</v>
      </c>
      <c r="J193" s="1" t="s">
        <v>12</v>
      </c>
      <c r="K193" s="1" t="s">
        <v>13</v>
      </c>
      <c r="L193" t="str" cm="1">
        <f t="array" ref="L193">_xlfn.IFS(B193&gt;-80,"Excellent",B193&gt;-95,"Good",B193&gt;-110,"Fair",  TRUE,"Poor")</f>
        <v>Poor</v>
      </c>
      <c r="M193" s="1" t="str">
        <f t="shared" si="2"/>
        <v>Normal</v>
      </c>
    </row>
    <row r="194" spans="1:13" x14ac:dyDescent="0.3">
      <c r="A194" s="3">
        <v>44756.906898148147</v>
      </c>
      <c r="B194">
        <v>-82.557757848804897</v>
      </c>
      <c r="C194">
        <v>27.993419344627799</v>
      </c>
      <c r="D194">
        <v>1459.11271159335</v>
      </c>
      <c r="E194" s="1" t="s">
        <v>18</v>
      </c>
      <c r="F194">
        <v>2.3108705703408199</v>
      </c>
      <c r="G194">
        <v>8.1812344726311803</v>
      </c>
      <c r="H194">
        <v>3</v>
      </c>
      <c r="I194">
        <v>31</v>
      </c>
      <c r="J194" s="1" t="s">
        <v>12</v>
      </c>
      <c r="K194" s="1" t="s">
        <v>13</v>
      </c>
      <c r="L194" t="str" cm="1">
        <f t="array" ref="L194">_xlfn.IFS(B194&gt;-80,"Excellent",B194&gt;-95,"Good",B194&gt;-110,"Fair",  TRUE,"Poor")</f>
        <v>Good</v>
      </c>
      <c r="M194" s="1" t="str">
        <f t="shared" si="2"/>
        <v>Normal</v>
      </c>
    </row>
    <row r="195" spans="1:13" x14ac:dyDescent="0.3">
      <c r="A195" s="3">
        <v>44757.493391203701</v>
      </c>
      <c r="B195">
        <v>-66.434748057717201</v>
      </c>
      <c r="C195">
        <v>14.695634955623699</v>
      </c>
      <c r="D195">
        <v>809.42997174507195</v>
      </c>
      <c r="E195" s="1" t="s">
        <v>16</v>
      </c>
      <c r="F195">
        <v>3.38474972821649</v>
      </c>
      <c r="G195">
        <v>9.6548073349482095</v>
      </c>
      <c r="H195">
        <v>8</v>
      </c>
      <c r="I195">
        <v>84</v>
      </c>
      <c r="J195" s="1" t="s">
        <v>15</v>
      </c>
      <c r="K195" s="1" t="s">
        <v>17</v>
      </c>
      <c r="L195" t="str" cm="1">
        <f t="array" ref="L195">_xlfn.IFS(B195&gt;-80,"Excellent",B195&gt;-95,"Good",B195&gt;-110,"Fair",  TRUE,"Poor")</f>
        <v>Excellent</v>
      </c>
      <c r="M195" s="1" t="str">
        <f t="shared" ref="M195:M258" si="3">IF(F195&gt;10,"High Loss","Normal")</f>
        <v>Normal</v>
      </c>
    </row>
    <row r="196" spans="1:13" x14ac:dyDescent="0.3">
      <c r="A196" s="3">
        <v>44758.385254629633</v>
      </c>
      <c r="B196">
        <v>-86.538597212945305</v>
      </c>
      <c r="C196">
        <v>19.296492673167499</v>
      </c>
      <c r="D196">
        <v>1632.26557605529</v>
      </c>
      <c r="E196" s="1" t="s">
        <v>14</v>
      </c>
      <c r="F196">
        <v>1.3047285644589099</v>
      </c>
      <c r="G196">
        <v>7.0428316748669104</v>
      </c>
      <c r="H196">
        <v>2</v>
      </c>
      <c r="I196">
        <v>27</v>
      </c>
      <c r="J196" s="1" t="s">
        <v>15</v>
      </c>
      <c r="K196" s="1" t="s">
        <v>13</v>
      </c>
      <c r="L196" t="str" cm="1">
        <f t="array" ref="L196">_xlfn.IFS(B196&gt;-80,"Excellent",B196&gt;-95,"Good",B196&gt;-110,"Fair",  TRUE,"Poor")</f>
        <v>Good</v>
      </c>
      <c r="M196" s="1" t="str">
        <f t="shared" si="3"/>
        <v>Normal</v>
      </c>
    </row>
    <row r="197" spans="1:13" x14ac:dyDescent="0.3">
      <c r="A197" s="3">
        <v>44759.671249999999</v>
      </c>
      <c r="B197">
        <v>-75.012419582384695</v>
      </c>
      <c r="C197">
        <v>29.405679131964</v>
      </c>
      <c r="D197">
        <v>1767.72473390086</v>
      </c>
      <c r="E197" s="1" t="s">
        <v>14</v>
      </c>
      <c r="F197">
        <v>0.55047564977082597</v>
      </c>
      <c r="G197">
        <v>1.73926098305349</v>
      </c>
      <c r="H197">
        <v>1</v>
      </c>
      <c r="I197">
        <v>20</v>
      </c>
      <c r="J197" s="1" t="s">
        <v>15</v>
      </c>
      <c r="K197" s="1" t="s">
        <v>13</v>
      </c>
      <c r="L197" t="str" cm="1">
        <f t="array" ref="L197">_xlfn.IFS(B197&gt;-80,"Excellent",B197&gt;-95,"Good",B197&gt;-110,"Fair",  TRUE,"Poor")</f>
        <v>Excellent</v>
      </c>
      <c r="M197" s="1" t="str">
        <f t="shared" si="3"/>
        <v>Normal</v>
      </c>
    </row>
    <row r="198" spans="1:13" x14ac:dyDescent="0.3">
      <c r="A198" s="3">
        <v>44760.666643518518</v>
      </c>
      <c r="B198">
        <v>-75.372280507966295</v>
      </c>
      <c r="C198">
        <v>21.330518521357799</v>
      </c>
      <c r="D198">
        <v>372.16219131156703</v>
      </c>
      <c r="E198" s="1" t="s">
        <v>11</v>
      </c>
      <c r="F198">
        <v>7.9413248983968998</v>
      </c>
      <c r="G198">
        <v>2.1419956107314801</v>
      </c>
      <c r="H198">
        <v>5</v>
      </c>
      <c r="I198">
        <v>73</v>
      </c>
      <c r="J198" s="1" t="s">
        <v>12</v>
      </c>
      <c r="K198" s="1" t="s">
        <v>13</v>
      </c>
      <c r="L198" t="str" cm="1">
        <f t="array" ref="L198">_xlfn.IFS(B198&gt;-80,"Excellent",B198&gt;-95,"Good",B198&gt;-110,"Fair",  TRUE,"Poor")</f>
        <v>Excellent</v>
      </c>
      <c r="M198" s="1" t="str">
        <f t="shared" si="3"/>
        <v>Normal</v>
      </c>
    </row>
    <row r="199" spans="1:13" x14ac:dyDescent="0.3">
      <c r="A199" s="3">
        <v>44761.568298611113</v>
      </c>
      <c r="B199">
        <v>-66.305050152607393</v>
      </c>
      <c r="C199">
        <v>11.4022888925338</v>
      </c>
      <c r="D199">
        <v>1460.3595734984499</v>
      </c>
      <c r="E199" s="1" t="s">
        <v>16</v>
      </c>
      <c r="F199">
        <v>4.5425515586298602</v>
      </c>
      <c r="G199">
        <v>4.2406181522305104</v>
      </c>
      <c r="H199">
        <v>7</v>
      </c>
      <c r="I199">
        <v>37</v>
      </c>
      <c r="J199" s="1" t="s">
        <v>12</v>
      </c>
      <c r="K199" s="1" t="s">
        <v>17</v>
      </c>
      <c r="L199" t="str" cm="1">
        <f t="array" ref="L199">_xlfn.IFS(B199&gt;-80,"Excellent",B199&gt;-95,"Good",B199&gt;-110,"Fair",  TRUE,"Poor")</f>
        <v>Excellent</v>
      </c>
      <c r="M199" s="1" t="str">
        <f t="shared" si="3"/>
        <v>Normal</v>
      </c>
    </row>
    <row r="200" spans="1:13" x14ac:dyDescent="0.3">
      <c r="A200" s="3">
        <v>44762.387546296297</v>
      </c>
      <c r="B200">
        <v>-116.249235499579</v>
      </c>
      <c r="C200">
        <v>10.5117120634547</v>
      </c>
      <c r="D200">
        <v>629.85417082815502</v>
      </c>
      <c r="E200" s="1" t="s">
        <v>16</v>
      </c>
      <c r="F200">
        <v>3.3110470394872502</v>
      </c>
      <c r="G200">
        <v>1.4758488232564699</v>
      </c>
      <c r="H200">
        <v>10</v>
      </c>
      <c r="I200">
        <v>22</v>
      </c>
      <c r="J200" s="1" t="s">
        <v>15</v>
      </c>
      <c r="K200" s="1" t="s">
        <v>13</v>
      </c>
      <c r="L200" t="str" cm="1">
        <f t="array" ref="L200">_xlfn.IFS(B200&gt;-80,"Excellent",B200&gt;-95,"Good",B200&gt;-110,"Fair",  TRUE,"Poor")</f>
        <v>Poor</v>
      </c>
      <c r="M200" s="1" t="str">
        <f t="shared" si="3"/>
        <v>Normal</v>
      </c>
    </row>
    <row r="201" spans="1:13" x14ac:dyDescent="0.3">
      <c r="A201" s="3">
        <v>44763.509201388886</v>
      </c>
      <c r="B201">
        <v>-95.806416896371204</v>
      </c>
      <c r="C201">
        <v>17.819603364178501</v>
      </c>
      <c r="D201">
        <v>1557.3615617431699</v>
      </c>
      <c r="E201" s="1" t="s">
        <v>18</v>
      </c>
      <c r="F201">
        <v>5.6888414857693901</v>
      </c>
      <c r="G201">
        <v>2.5264756589258699</v>
      </c>
      <c r="H201">
        <v>10</v>
      </c>
      <c r="I201">
        <v>99</v>
      </c>
      <c r="J201" s="1" t="s">
        <v>15</v>
      </c>
      <c r="K201" s="1" t="s">
        <v>17</v>
      </c>
      <c r="L201" t="str" cm="1">
        <f t="array" ref="L201">_xlfn.IFS(B201&gt;-80,"Excellent",B201&gt;-95,"Good",B201&gt;-110,"Fair",  TRUE,"Poor")</f>
        <v>Fair</v>
      </c>
      <c r="M201" s="1" t="str">
        <f t="shared" si="3"/>
        <v>Normal</v>
      </c>
    </row>
    <row r="202" spans="1:13" x14ac:dyDescent="0.3">
      <c r="A202" s="3">
        <v>44764.504166666666</v>
      </c>
      <c r="B202">
        <v>-76.483170329676298</v>
      </c>
      <c r="C202">
        <v>17.211186291999901</v>
      </c>
      <c r="D202">
        <v>598.69585111426102</v>
      </c>
      <c r="E202" s="1" t="s">
        <v>16</v>
      </c>
      <c r="F202">
        <v>2.4788492054870099</v>
      </c>
      <c r="G202">
        <v>1.57684473096502</v>
      </c>
      <c r="H202">
        <v>3</v>
      </c>
      <c r="I202">
        <v>84</v>
      </c>
      <c r="J202" s="1" t="s">
        <v>15</v>
      </c>
      <c r="K202" s="1" t="s">
        <v>13</v>
      </c>
      <c r="L202" t="str" cm="1">
        <f t="array" ref="L202">_xlfn.IFS(B202&gt;-80,"Excellent",B202&gt;-95,"Good",B202&gt;-110,"Fair",  TRUE,"Poor")</f>
        <v>Excellent</v>
      </c>
      <c r="M202" s="1" t="str">
        <f t="shared" si="3"/>
        <v>Normal</v>
      </c>
    </row>
    <row r="203" spans="1:13" x14ac:dyDescent="0.3">
      <c r="A203" s="3">
        <v>44765.779826388891</v>
      </c>
      <c r="B203">
        <v>-72.146487064440905</v>
      </c>
      <c r="C203">
        <v>12.0829712668057</v>
      </c>
      <c r="D203">
        <v>1144.8317832170001</v>
      </c>
      <c r="E203" s="1" t="s">
        <v>14</v>
      </c>
      <c r="F203">
        <v>5.6964429993896903</v>
      </c>
      <c r="G203">
        <v>5.2050830294127204</v>
      </c>
      <c r="H203">
        <v>5</v>
      </c>
      <c r="I203">
        <v>61</v>
      </c>
      <c r="J203" s="1" t="s">
        <v>15</v>
      </c>
      <c r="K203" s="1" t="s">
        <v>13</v>
      </c>
      <c r="L203" t="str" cm="1">
        <f t="array" ref="L203">_xlfn.IFS(B203&gt;-80,"Excellent",B203&gt;-95,"Good",B203&gt;-110,"Fair",  TRUE,"Poor")</f>
        <v>Excellent</v>
      </c>
      <c r="M203" s="1" t="str">
        <f t="shared" si="3"/>
        <v>Normal</v>
      </c>
    </row>
    <row r="204" spans="1:13" x14ac:dyDescent="0.3">
      <c r="A204" s="3">
        <v>44766.861203703702</v>
      </c>
      <c r="B204">
        <v>-92.905114305360598</v>
      </c>
      <c r="C204">
        <v>22.7658609696554</v>
      </c>
      <c r="D204">
        <v>1344.1108596004001</v>
      </c>
      <c r="E204" s="1" t="s">
        <v>18</v>
      </c>
      <c r="F204">
        <v>5.3867180713673699</v>
      </c>
      <c r="G204">
        <v>9.1864774166984304</v>
      </c>
      <c r="H204">
        <v>9</v>
      </c>
      <c r="I204">
        <v>36</v>
      </c>
      <c r="J204" s="1" t="s">
        <v>15</v>
      </c>
      <c r="K204" s="1" t="s">
        <v>13</v>
      </c>
      <c r="L204" t="str" cm="1">
        <f t="array" ref="L204">_xlfn.IFS(B204&gt;-80,"Excellent",B204&gt;-95,"Good",B204&gt;-110,"Fair",  TRUE,"Poor")</f>
        <v>Good</v>
      </c>
      <c r="M204" s="1" t="str">
        <f t="shared" si="3"/>
        <v>Normal</v>
      </c>
    </row>
    <row r="205" spans="1:13" x14ac:dyDescent="0.3">
      <c r="A205" s="3">
        <v>44767.96199074074</v>
      </c>
      <c r="B205">
        <v>-87.866356420067206</v>
      </c>
      <c r="C205">
        <v>11.062893722543601</v>
      </c>
      <c r="D205">
        <v>649.81334582549596</v>
      </c>
      <c r="E205" s="1" t="s">
        <v>16</v>
      </c>
      <c r="F205">
        <v>4.74423342373463</v>
      </c>
      <c r="G205">
        <v>8.1594000088963803</v>
      </c>
      <c r="H205">
        <v>3</v>
      </c>
      <c r="I205">
        <v>21</v>
      </c>
      <c r="J205" s="1" t="s">
        <v>12</v>
      </c>
      <c r="K205" s="1" t="s">
        <v>13</v>
      </c>
      <c r="L205" t="str" cm="1">
        <f t="array" ref="L205">_xlfn.IFS(B205&gt;-80,"Excellent",B205&gt;-95,"Good",B205&gt;-110,"Fair",  TRUE,"Poor")</f>
        <v>Good</v>
      </c>
      <c r="M205" s="1" t="str">
        <f t="shared" si="3"/>
        <v>Normal</v>
      </c>
    </row>
    <row r="206" spans="1:13" x14ac:dyDescent="0.3">
      <c r="A206" s="3">
        <v>44768.568749999999</v>
      </c>
      <c r="B206">
        <v>-101.079216957005</v>
      </c>
      <c r="C206">
        <v>17.883410917465099</v>
      </c>
      <c r="D206">
        <v>1581.4861594685999</v>
      </c>
      <c r="E206" s="1" t="s">
        <v>11</v>
      </c>
      <c r="F206">
        <v>10.506394699223501</v>
      </c>
      <c r="G206">
        <v>2.6200857637769102</v>
      </c>
      <c r="H206">
        <v>2</v>
      </c>
      <c r="I206">
        <v>95</v>
      </c>
      <c r="J206" s="1" t="s">
        <v>12</v>
      </c>
      <c r="K206" s="1" t="s">
        <v>13</v>
      </c>
      <c r="L206" t="str" cm="1">
        <f t="array" ref="L206">_xlfn.IFS(B206&gt;-80,"Excellent",B206&gt;-95,"Good",B206&gt;-110,"Fair",  TRUE,"Poor")</f>
        <v>Fair</v>
      </c>
      <c r="M206" s="1" t="str">
        <f t="shared" si="3"/>
        <v>High Loss</v>
      </c>
    </row>
    <row r="207" spans="1:13" x14ac:dyDescent="0.3">
      <c r="A207" s="3">
        <v>44769.52008101852</v>
      </c>
      <c r="B207">
        <v>-78.478979381746598</v>
      </c>
      <c r="C207">
        <v>13.290931204868199</v>
      </c>
      <c r="D207">
        <v>759.09233393520299</v>
      </c>
      <c r="E207" s="1" t="s">
        <v>18</v>
      </c>
      <c r="F207">
        <v>3.9740160408980798</v>
      </c>
      <c r="G207">
        <v>8.1269297278057504</v>
      </c>
      <c r="H207">
        <v>10</v>
      </c>
      <c r="I207">
        <v>58</v>
      </c>
      <c r="J207" s="1" t="s">
        <v>12</v>
      </c>
      <c r="K207" s="1" t="s">
        <v>13</v>
      </c>
      <c r="L207" t="str" cm="1">
        <f t="array" ref="L207">_xlfn.IFS(B207&gt;-80,"Excellent",B207&gt;-95,"Good",B207&gt;-110,"Fair",  TRUE,"Poor")</f>
        <v>Excellent</v>
      </c>
      <c r="M207" s="1" t="str">
        <f t="shared" si="3"/>
        <v>Normal</v>
      </c>
    </row>
    <row r="208" spans="1:13" x14ac:dyDescent="0.3">
      <c r="A208" s="3">
        <v>44770.400914351849</v>
      </c>
      <c r="B208">
        <v>-84.403315049524707</v>
      </c>
      <c r="C208">
        <v>21.383865899530701</v>
      </c>
      <c r="D208">
        <v>249.82714987017701</v>
      </c>
      <c r="E208" s="1" t="s">
        <v>14</v>
      </c>
      <c r="F208">
        <v>3.35499996469018</v>
      </c>
      <c r="G208">
        <v>5.2924165301640302</v>
      </c>
      <c r="H208">
        <v>5</v>
      </c>
      <c r="I208">
        <v>85</v>
      </c>
      <c r="J208" s="1" t="s">
        <v>12</v>
      </c>
      <c r="K208" s="1" t="s">
        <v>17</v>
      </c>
      <c r="L208" t="str" cm="1">
        <f t="array" ref="L208">_xlfn.IFS(B208&gt;-80,"Excellent",B208&gt;-95,"Good",B208&gt;-110,"Fair",  TRUE,"Poor")</f>
        <v>Good</v>
      </c>
      <c r="M208" s="1" t="str">
        <f t="shared" si="3"/>
        <v>Normal</v>
      </c>
    </row>
    <row r="209" spans="1:13" x14ac:dyDescent="0.3">
      <c r="A209" s="3">
        <v>44771.523356481484</v>
      </c>
      <c r="B209">
        <v>-104.15737012556001</v>
      </c>
      <c r="C209">
        <v>21.399740608236598</v>
      </c>
      <c r="D209">
        <v>1566.8237046629099</v>
      </c>
      <c r="E209" s="1" t="s">
        <v>11</v>
      </c>
      <c r="F209">
        <v>10.2411564169833</v>
      </c>
      <c r="G209">
        <v>3.50914628395059</v>
      </c>
      <c r="H209">
        <v>2</v>
      </c>
      <c r="I209">
        <v>59</v>
      </c>
      <c r="J209" s="1" t="s">
        <v>12</v>
      </c>
      <c r="K209" s="1" t="s">
        <v>17</v>
      </c>
      <c r="L209" t="str" cm="1">
        <f t="array" ref="L209">_xlfn.IFS(B209&gt;-80,"Excellent",B209&gt;-95,"Good",B209&gt;-110,"Fair",  TRUE,"Poor")</f>
        <v>Fair</v>
      </c>
      <c r="M209" s="1" t="str">
        <f t="shared" si="3"/>
        <v>High Loss</v>
      </c>
    </row>
    <row r="210" spans="1:13" x14ac:dyDescent="0.3">
      <c r="A210" s="3">
        <v>44772.393530092595</v>
      </c>
      <c r="B210">
        <v>-85.558642125439704</v>
      </c>
      <c r="C210">
        <v>14.3693117171444</v>
      </c>
      <c r="D210">
        <v>818.978774059937</v>
      </c>
      <c r="E210" s="1" t="s">
        <v>14</v>
      </c>
      <c r="F210">
        <v>6.9552636406403296</v>
      </c>
      <c r="G210">
        <v>4.8224319280374504</v>
      </c>
      <c r="H210">
        <v>10</v>
      </c>
      <c r="I210">
        <v>17</v>
      </c>
      <c r="J210" s="1" t="s">
        <v>12</v>
      </c>
      <c r="K210" s="1" t="s">
        <v>13</v>
      </c>
      <c r="L210" t="str" cm="1">
        <f t="array" ref="L210">_xlfn.IFS(B210&gt;-80,"Excellent",B210&gt;-95,"Good",B210&gt;-110,"Fair",  TRUE,"Poor")</f>
        <v>Good</v>
      </c>
      <c r="M210" s="1" t="str">
        <f t="shared" si="3"/>
        <v>Normal</v>
      </c>
    </row>
    <row r="211" spans="1:13" x14ac:dyDescent="0.3">
      <c r="A211" s="3">
        <v>44773.934537037036</v>
      </c>
      <c r="B211">
        <v>-106.537452824574</v>
      </c>
      <c r="C211">
        <v>23.8830343428295</v>
      </c>
      <c r="D211">
        <v>1387.19022641826</v>
      </c>
      <c r="E211" s="1" t="s">
        <v>11</v>
      </c>
      <c r="F211">
        <v>5.5083532862890703</v>
      </c>
      <c r="G211">
        <v>0.83008569963679002</v>
      </c>
      <c r="H211">
        <v>9</v>
      </c>
      <c r="I211">
        <v>36</v>
      </c>
      <c r="J211" s="1" t="s">
        <v>15</v>
      </c>
      <c r="K211" s="1" t="s">
        <v>17</v>
      </c>
      <c r="L211" t="str" cm="1">
        <f t="array" ref="L211">_xlfn.IFS(B211&gt;-80,"Excellent",B211&gt;-95,"Good",B211&gt;-110,"Fair",  TRUE,"Poor")</f>
        <v>Fair</v>
      </c>
      <c r="M211" s="1" t="str">
        <f t="shared" si="3"/>
        <v>Normal</v>
      </c>
    </row>
    <row r="212" spans="1:13" x14ac:dyDescent="0.3">
      <c r="A212" s="3">
        <v>44774.792673611111</v>
      </c>
      <c r="B212">
        <v>-95.929371607417906</v>
      </c>
      <c r="C212">
        <v>13.2719391775221</v>
      </c>
      <c r="D212">
        <v>233.00799198094001</v>
      </c>
      <c r="E212" s="1" t="s">
        <v>11</v>
      </c>
      <c r="F212">
        <v>5.7521459195018503</v>
      </c>
      <c r="G212">
        <v>6.4376669859190603</v>
      </c>
      <c r="H212">
        <v>7</v>
      </c>
      <c r="I212">
        <v>26</v>
      </c>
      <c r="J212" s="1" t="s">
        <v>12</v>
      </c>
      <c r="K212" s="1" t="s">
        <v>17</v>
      </c>
      <c r="L212" t="str" cm="1">
        <f t="array" ref="L212">_xlfn.IFS(B212&gt;-80,"Excellent",B212&gt;-95,"Good",B212&gt;-110,"Fair",  TRUE,"Poor")</f>
        <v>Fair</v>
      </c>
      <c r="M212" s="1" t="str">
        <f t="shared" si="3"/>
        <v>Normal</v>
      </c>
    </row>
    <row r="213" spans="1:13" x14ac:dyDescent="0.3">
      <c r="A213" s="3">
        <v>44775.655717592592</v>
      </c>
      <c r="B213">
        <v>-79.2499671460684</v>
      </c>
      <c r="C213">
        <v>14.5847000580948</v>
      </c>
      <c r="D213">
        <v>1101.8165322477701</v>
      </c>
      <c r="E213" s="1" t="s">
        <v>18</v>
      </c>
      <c r="F213">
        <v>4.2681735298821604</v>
      </c>
      <c r="G213">
        <v>8.2147686228596193</v>
      </c>
      <c r="H213">
        <v>3</v>
      </c>
      <c r="I213">
        <v>49</v>
      </c>
      <c r="J213" s="1" t="s">
        <v>15</v>
      </c>
      <c r="K213" s="1" t="s">
        <v>17</v>
      </c>
      <c r="L213" t="str" cm="1">
        <f t="array" ref="L213">_xlfn.IFS(B213&gt;-80,"Excellent",B213&gt;-95,"Good",B213&gt;-110,"Fair",  TRUE,"Poor")</f>
        <v>Excellent</v>
      </c>
      <c r="M213" s="1" t="str">
        <f t="shared" si="3"/>
        <v>Normal</v>
      </c>
    </row>
    <row r="214" spans="1:13" x14ac:dyDescent="0.3">
      <c r="A214" s="3">
        <v>44776.770335648151</v>
      </c>
      <c r="B214">
        <v>-81.725287550242697</v>
      </c>
      <c r="C214">
        <v>25.558093064422099</v>
      </c>
      <c r="D214">
        <v>115.745465932028</v>
      </c>
      <c r="E214" s="1" t="s">
        <v>16</v>
      </c>
      <c r="F214">
        <v>1.58333913249431</v>
      </c>
      <c r="G214">
        <v>6.24128476953367</v>
      </c>
      <c r="H214">
        <v>2</v>
      </c>
      <c r="I214">
        <v>83</v>
      </c>
      <c r="J214" s="1" t="s">
        <v>15</v>
      </c>
      <c r="K214" s="1" t="s">
        <v>17</v>
      </c>
      <c r="L214" t="str" cm="1">
        <f t="array" ref="L214">_xlfn.IFS(B214&gt;-80,"Excellent",B214&gt;-95,"Good",B214&gt;-110,"Fair",  TRUE,"Poor")</f>
        <v>Good</v>
      </c>
      <c r="M214" s="1" t="str">
        <f t="shared" si="3"/>
        <v>Normal</v>
      </c>
    </row>
    <row r="215" spans="1:13" x14ac:dyDescent="0.3">
      <c r="A215" s="3">
        <v>44777.898368055554</v>
      </c>
      <c r="B215">
        <v>-68.583586426977305</v>
      </c>
      <c r="C215">
        <v>26.7564928736676</v>
      </c>
      <c r="D215">
        <v>1757.57693004211</v>
      </c>
      <c r="E215" s="1" t="s">
        <v>14</v>
      </c>
      <c r="F215">
        <v>8.1276879386442396</v>
      </c>
      <c r="G215">
        <v>1.69813879618899</v>
      </c>
      <c r="H215">
        <v>6</v>
      </c>
      <c r="I215">
        <v>86</v>
      </c>
      <c r="J215" s="1" t="s">
        <v>15</v>
      </c>
      <c r="K215" s="1" t="s">
        <v>13</v>
      </c>
      <c r="L215" t="str" cm="1">
        <f t="array" ref="L215">_xlfn.IFS(B215&gt;-80,"Excellent",B215&gt;-95,"Good",B215&gt;-110,"Fair",  TRUE,"Poor")</f>
        <v>Excellent</v>
      </c>
      <c r="M215" s="1" t="str">
        <f t="shared" si="3"/>
        <v>Normal</v>
      </c>
    </row>
    <row r="216" spans="1:13" x14ac:dyDescent="0.3">
      <c r="A216" s="3">
        <v>44778.906458333331</v>
      </c>
      <c r="B216">
        <v>-74.012779871954393</v>
      </c>
      <c r="C216">
        <v>26.563252579845599</v>
      </c>
      <c r="D216">
        <v>1258.8522419016399</v>
      </c>
      <c r="E216" s="1" t="s">
        <v>14</v>
      </c>
      <c r="F216">
        <v>4.6261709981492496</v>
      </c>
      <c r="G216">
        <v>3.3311062084065002</v>
      </c>
      <c r="H216">
        <v>4</v>
      </c>
      <c r="I216">
        <v>2</v>
      </c>
      <c r="J216" s="1" t="s">
        <v>15</v>
      </c>
      <c r="K216" s="1" t="s">
        <v>17</v>
      </c>
      <c r="L216" t="str" cm="1">
        <f t="array" ref="L216">_xlfn.IFS(B216&gt;-80,"Excellent",B216&gt;-95,"Good",B216&gt;-110,"Fair",  TRUE,"Poor")</f>
        <v>Excellent</v>
      </c>
      <c r="M216" s="1" t="str">
        <f t="shared" si="3"/>
        <v>Normal</v>
      </c>
    </row>
    <row r="217" spans="1:13" x14ac:dyDescent="0.3">
      <c r="A217" s="3">
        <v>44779.590104166666</v>
      </c>
      <c r="B217">
        <v>-79.023859905930095</v>
      </c>
      <c r="C217">
        <v>19.394780916088401</v>
      </c>
      <c r="D217">
        <v>1208.5072211076199</v>
      </c>
      <c r="E217" s="1" t="s">
        <v>14</v>
      </c>
      <c r="F217">
        <v>7.9288509017195299</v>
      </c>
      <c r="G217">
        <v>2.9158901789701002</v>
      </c>
      <c r="H217">
        <v>5</v>
      </c>
      <c r="I217">
        <v>13</v>
      </c>
      <c r="J217" s="1" t="s">
        <v>15</v>
      </c>
      <c r="K217" s="1" t="s">
        <v>17</v>
      </c>
      <c r="L217" t="str" cm="1">
        <f t="array" ref="L217">_xlfn.IFS(B217&gt;-80,"Excellent",B217&gt;-95,"Good",B217&gt;-110,"Fair",  TRUE,"Poor")</f>
        <v>Excellent</v>
      </c>
      <c r="M217" s="1" t="str">
        <f t="shared" si="3"/>
        <v>Normal</v>
      </c>
    </row>
    <row r="218" spans="1:13" x14ac:dyDescent="0.3">
      <c r="A218" s="3">
        <v>44780.812951388885</v>
      </c>
      <c r="B218">
        <v>-107.311311235402</v>
      </c>
      <c r="C218">
        <v>11.4834573647216</v>
      </c>
      <c r="D218">
        <v>303.11097296520097</v>
      </c>
      <c r="E218" s="1" t="s">
        <v>11</v>
      </c>
      <c r="F218">
        <v>8.4895978309386706</v>
      </c>
      <c r="G218">
        <v>9.4576636915569807</v>
      </c>
      <c r="H218">
        <v>2</v>
      </c>
      <c r="I218">
        <v>2</v>
      </c>
      <c r="J218" s="1" t="s">
        <v>15</v>
      </c>
      <c r="K218" s="1" t="s">
        <v>17</v>
      </c>
      <c r="L218" t="str" cm="1">
        <f t="array" ref="L218">_xlfn.IFS(B218&gt;-80,"Excellent",B218&gt;-95,"Good",B218&gt;-110,"Fair",  TRUE,"Poor")</f>
        <v>Fair</v>
      </c>
      <c r="M218" s="1" t="str">
        <f t="shared" si="3"/>
        <v>Normal</v>
      </c>
    </row>
    <row r="219" spans="1:13" x14ac:dyDescent="0.3">
      <c r="A219" s="3">
        <v>44781.787881944445</v>
      </c>
      <c r="B219">
        <v>-90.562219600207001</v>
      </c>
      <c r="C219">
        <v>17.968543962834399</v>
      </c>
      <c r="D219">
        <v>53.938743116276903</v>
      </c>
      <c r="E219" s="1" t="s">
        <v>11</v>
      </c>
      <c r="F219">
        <v>6.9699774905019103</v>
      </c>
      <c r="G219">
        <v>6.8149733017234002</v>
      </c>
      <c r="H219">
        <v>2</v>
      </c>
      <c r="I219">
        <v>26</v>
      </c>
      <c r="J219" s="1" t="s">
        <v>12</v>
      </c>
      <c r="K219" s="1" t="s">
        <v>17</v>
      </c>
      <c r="L219" t="str" cm="1">
        <f t="array" ref="L219">_xlfn.IFS(B219&gt;-80,"Excellent",B219&gt;-95,"Good",B219&gt;-110,"Fair",  TRUE,"Poor")</f>
        <v>Good</v>
      </c>
      <c r="M219" s="1" t="str">
        <f t="shared" si="3"/>
        <v>Normal</v>
      </c>
    </row>
    <row r="220" spans="1:13" x14ac:dyDescent="0.3">
      <c r="A220" s="3">
        <v>44782.395300925928</v>
      </c>
      <c r="B220">
        <v>-64.009828111672903</v>
      </c>
      <c r="C220">
        <v>19.922964894685201</v>
      </c>
      <c r="D220">
        <v>1025.1185192302401</v>
      </c>
      <c r="E220" s="1" t="s">
        <v>16</v>
      </c>
      <c r="F220">
        <v>2.5910868711122301</v>
      </c>
      <c r="G220">
        <v>7.7633354221444204</v>
      </c>
      <c r="H220">
        <v>9</v>
      </c>
      <c r="I220">
        <v>52</v>
      </c>
      <c r="J220" s="1" t="s">
        <v>12</v>
      </c>
      <c r="K220" s="1" t="s">
        <v>13</v>
      </c>
      <c r="L220" t="str" cm="1">
        <f t="array" ref="L220">_xlfn.IFS(B220&gt;-80,"Excellent",B220&gt;-95,"Good",B220&gt;-110,"Fair",  TRUE,"Poor")</f>
        <v>Excellent</v>
      </c>
      <c r="M220" s="1" t="str">
        <f t="shared" si="3"/>
        <v>Normal</v>
      </c>
    </row>
    <row r="221" spans="1:13" x14ac:dyDescent="0.3">
      <c r="A221" s="3">
        <v>44783.865601851852</v>
      </c>
      <c r="B221">
        <v>-80.995828086688206</v>
      </c>
      <c r="C221">
        <v>16.256306705363698</v>
      </c>
      <c r="D221">
        <v>55.893835315479599</v>
      </c>
      <c r="E221" s="1" t="s">
        <v>14</v>
      </c>
      <c r="F221">
        <v>1.7964577223074101</v>
      </c>
      <c r="G221">
        <v>7.4544450102916704</v>
      </c>
      <c r="H221">
        <v>4</v>
      </c>
      <c r="I221">
        <v>95</v>
      </c>
      <c r="J221" s="1" t="s">
        <v>15</v>
      </c>
      <c r="K221" s="1" t="s">
        <v>17</v>
      </c>
      <c r="L221" t="str" cm="1">
        <f t="array" ref="L221">_xlfn.IFS(B221&gt;-80,"Excellent",B221&gt;-95,"Good",B221&gt;-110,"Fair",  TRUE,"Poor")</f>
        <v>Good</v>
      </c>
      <c r="M221" s="1" t="str">
        <f t="shared" si="3"/>
        <v>Normal</v>
      </c>
    </row>
    <row r="222" spans="1:13" x14ac:dyDescent="0.3">
      <c r="A222" s="3">
        <v>44784.974456018521</v>
      </c>
      <c r="B222">
        <v>-81.568324513197794</v>
      </c>
      <c r="C222">
        <v>12.0639372489415</v>
      </c>
      <c r="D222">
        <v>569.94237120957496</v>
      </c>
      <c r="E222" s="1" t="s">
        <v>18</v>
      </c>
      <c r="F222">
        <v>5.2893430911758497</v>
      </c>
      <c r="G222">
        <v>3.7657165715824901</v>
      </c>
      <c r="H222">
        <v>7</v>
      </c>
      <c r="I222">
        <v>58</v>
      </c>
      <c r="J222" s="1" t="s">
        <v>12</v>
      </c>
      <c r="K222" s="1" t="s">
        <v>13</v>
      </c>
      <c r="L222" t="str" cm="1">
        <f t="array" ref="L222">_xlfn.IFS(B222&gt;-80,"Excellent",B222&gt;-95,"Good",B222&gt;-110,"Fair",  TRUE,"Poor")</f>
        <v>Good</v>
      </c>
      <c r="M222" s="1" t="str">
        <f t="shared" si="3"/>
        <v>Normal</v>
      </c>
    </row>
    <row r="223" spans="1:13" x14ac:dyDescent="0.3">
      <c r="A223" s="3">
        <v>44785.519050925926</v>
      </c>
      <c r="B223">
        <v>-93.751824622784596</v>
      </c>
      <c r="C223">
        <v>14.674092983208199</v>
      </c>
      <c r="D223">
        <v>25.851171562504799</v>
      </c>
      <c r="E223" s="1" t="s">
        <v>16</v>
      </c>
      <c r="F223">
        <v>1.6072146392136399</v>
      </c>
      <c r="G223">
        <v>0.53486485114578497</v>
      </c>
      <c r="H223">
        <v>5</v>
      </c>
      <c r="I223">
        <v>38</v>
      </c>
      <c r="J223" s="1" t="s">
        <v>15</v>
      </c>
      <c r="K223" s="1" t="s">
        <v>13</v>
      </c>
      <c r="L223" t="str" cm="1">
        <f t="array" ref="L223">_xlfn.IFS(B223&gt;-80,"Excellent",B223&gt;-95,"Good",B223&gt;-110,"Fair",  TRUE,"Poor")</f>
        <v>Good</v>
      </c>
      <c r="M223" s="1" t="str">
        <f t="shared" si="3"/>
        <v>Normal</v>
      </c>
    </row>
    <row r="224" spans="1:13" x14ac:dyDescent="0.3">
      <c r="A224" s="3">
        <v>44786.613437499997</v>
      </c>
      <c r="B224">
        <v>-90.745060558256398</v>
      </c>
      <c r="C224">
        <v>23.777474532520301</v>
      </c>
      <c r="D224">
        <v>1090.8530328157599</v>
      </c>
      <c r="E224" s="1" t="s">
        <v>16</v>
      </c>
      <c r="F224">
        <v>0.35276301322711701</v>
      </c>
      <c r="G224">
        <v>6.0162106035345397</v>
      </c>
      <c r="H224">
        <v>5</v>
      </c>
      <c r="I224">
        <v>80</v>
      </c>
      <c r="J224" s="1" t="s">
        <v>15</v>
      </c>
      <c r="K224" s="1" t="s">
        <v>13</v>
      </c>
      <c r="L224" t="str" cm="1">
        <f t="array" ref="L224">_xlfn.IFS(B224&gt;-80,"Excellent",B224&gt;-95,"Good",B224&gt;-110,"Fair",  TRUE,"Poor")</f>
        <v>Good</v>
      </c>
      <c r="M224" s="1" t="str">
        <f t="shared" si="3"/>
        <v>Normal</v>
      </c>
    </row>
    <row r="225" spans="1:13" x14ac:dyDescent="0.3">
      <c r="A225" s="3">
        <v>44787.649641203701</v>
      </c>
      <c r="B225">
        <v>-80.817551768260699</v>
      </c>
      <c r="C225">
        <v>16.847726196972399</v>
      </c>
      <c r="D225">
        <v>1411.1299803313</v>
      </c>
      <c r="E225" s="1" t="s">
        <v>11</v>
      </c>
      <c r="F225">
        <v>6.0427706902216096</v>
      </c>
      <c r="G225">
        <v>3.1495681295488298</v>
      </c>
      <c r="H225">
        <v>6</v>
      </c>
      <c r="I225">
        <v>34</v>
      </c>
      <c r="J225" s="1" t="s">
        <v>15</v>
      </c>
      <c r="K225" s="1" t="s">
        <v>17</v>
      </c>
      <c r="L225" t="str" cm="1">
        <f t="array" ref="L225">_xlfn.IFS(B225&gt;-80,"Excellent",B225&gt;-95,"Good",B225&gt;-110,"Fair",  TRUE,"Poor")</f>
        <v>Good</v>
      </c>
      <c r="M225" s="1" t="str">
        <f t="shared" si="3"/>
        <v>Normal</v>
      </c>
    </row>
    <row r="226" spans="1:13" x14ac:dyDescent="0.3">
      <c r="A226" s="3">
        <v>44788.768113425926</v>
      </c>
      <c r="B226">
        <v>-58.696050469137496</v>
      </c>
      <c r="C226">
        <v>18.504645875761501</v>
      </c>
      <c r="D226">
        <v>418.73120980889098</v>
      </c>
      <c r="E226" s="1" t="s">
        <v>16</v>
      </c>
      <c r="F226">
        <v>2.70007544215103</v>
      </c>
      <c r="G226">
        <v>8.9107879705197401</v>
      </c>
      <c r="H226">
        <v>10</v>
      </c>
      <c r="I226">
        <v>89</v>
      </c>
      <c r="J226" s="1" t="s">
        <v>12</v>
      </c>
      <c r="K226" s="1" t="s">
        <v>17</v>
      </c>
      <c r="L226" t="str" cm="1">
        <f t="array" ref="L226">_xlfn.IFS(B226&gt;-80,"Excellent",B226&gt;-95,"Good",B226&gt;-110,"Fair",  TRUE,"Poor")</f>
        <v>Excellent</v>
      </c>
      <c r="M226" s="1" t="str">
        <f t="shared" si="3"/>
        <v>Normal</v>
      </c>
    </row>
    <row r="227" spans="1:13" x14ac:dyDescent="0.3">
      <c r="A227" s="3">
        <v>44789.657800925925</v>
      </c>
      <c r="B227">
        <v>-82.060041213528393</v>
      </c>
      <c r="C227">
        <v>15.358977760609701</v>
      </c>
      <c r="D227">
        <v>334.56328289003397</v>
      </c>
      <c r="E227" s="1" t="s">
        <v>16</v>
      </c>
      <c r="F227">
        <v>0.99201761872994298</v>
      </c>
      <c r="G227">
        <v>0.24229196550510501</v>
      </c>
      <c r="H227">
        <v>2</v>
      </c>
      <c r="I227">
        <v>50</v>
      </c>
      <c r="J227" s="1" t="s">
        <v>15</v>
      </c>
      <c r="K227" s="1" t="s">
        <v>17</v>
      </c>
      <c r="L227" t="str" cm="1">
        <f t="array" ref="L227">_xlfn.IFS(B227&gt;-80,"Excellent",B227&gt;-95,"Good",B227&gt;-110,"Fair",  TRUE,"Poor")</f>
        <v>Good</v>
      </c>
      <c r="M227" s="1" t="str">
        <f t="shared" si="3"/>
        <v>Normal</v>
      </c>
    </row>
    <row r="228" spans="1:13" x14ac:dyDescent="0.3">
      <c r="A228" s="3">
        <v>44790.856400462966</v>
      </c>
      <c r="B228">
        <v>-73.964969836322794</v>
      </c>
      <c r="C228">
        <v>17.581157666354599</v>
      </c>
      <c r="D228">
        <v>11.520903607716701</v>
      </c>
      <c r="E228" s="1" t="s">
        <v>16</v>
      </c>
      <c r="F228">
        <v>0.362559994759866</v>
      </c>
      <c r="G228">
        <v>6.7261744759025097</v>
      </c>
      <c r="H228">
        <v>3</v>
      </c>
      <c r="I228">
        <v>34</v>
      </c>
      <c r="J228" s="1" t="s">
        <v>15</v>
      </c>
      <c r="K228" s="1" t="s">
        <v>17</v>
      </c>
      <c r="L228" t="str" cm="1">
        <f t="array" ref="L228">_xlfn.IFS(B228&gt;-80,"Excellent",B228&gt;-95,"Good",B228&gt;-110,"Fair",  TRUE,"Poor")</f>
        <v>Excellent</v>
      </c>
      <c r="M228" s="1" t="str">
        <f t="shared" si="3"/>
        <v>Normal</v>
      </c>
    </row>
    <row r="229" spans="1:13" x14ac:dyDescent="0.3">
      <c r="A229" s="3">
        <v>44791.498472222222</v>
      </c>
      <c r="B229">
        <v>-85.564230076920495</v>
      </c>
      <c r="C229">
        <v>15.4331632806584</v>
      </c>
      <c r="D229">
        <v>1129.14503067494</v>
      </c>
      <c r="E229" s="1" t="s">
        <v>11</v>
      </c>
      <c r="F229">
        <v>6.0488444507407202</v>
      </c>
      <c r="G229">
        <v>6.4759879184928399</v>
      </c>
      <c r="H229">
        <v>1</v>
      </c>
      <c r="I229">
        <v>38</v>
      </c>
      <c r="J229" s="1" t="s">
        <v>12</v>
      </c>
      <c r="K229" s="1" t="s">
        <v>17</v>
      </c>
      <c r="L229" t="str" cm="1">
        <f t="array" ref="L229">_xlfn.IFS(B229&gt;-80,"Excellent",B229&gt;-95,"Good",B229&gt;-110,"Fair",  TRUE,"Poor")</f>
        <v>Good</v>
      </c>
      <c r="M229" s="1" t="str">
        <f t="shared" si="3"/>
        <v>Normal</v>
      </c>
    </row>
    <row r="230" spans="1:13" x14ac:dyDescent="0.3">
      <c r="A230" s="3">
        <v>44792.507094907407</v>
      </c>
      <c r="B230">
        <v>-60.439364006101798</v>
      </c>
      <c r="C230">
        <v>12.1027751447618</v>
      </c>
      <c r="D230">
        <v>1272.9378664389801</v>
      </c>
      <c r="E230" s="1" t="s">
        <v>14</v>
      </c>
      <c r="F230">
        <v>6.71700097740466</v>
      </c>
      <c r="G230">
        <v>9.6014189139814601</v>
      </c>
      <c r="H230">
        <v>3</v>
      </c>
      <c r="I230">
        <v>80</v>
      </c>
      <c r="J230" s="1" t="s">
        <v>12</v>
      </c>
      <c r="K230" s="1" t="s">
        <v>13</v>
      </c>
      <c r="L230" t="str" cm="1">
        <f t="array" ref="L230">_xlfn.IFS(B230&gt;-80,"Excellent",B230&gt;-95,"Good",B230&gt;-110,"Fair",  TRUE,"Poor")</f>
        <v>Excellent</v>
      </c>
      <c r="M230" s="1" t="str">
        <f t="shared" si="3"/>
        <v>Normal</v>
      </c>
    </row>
    <row r="231" spans="1:13" x14ac:dyDescent="0.3">
      <c r="A231" s="3">
        <v>44793.576006944444</v>
      </c>
      <c r="B231">
        <v>-65.049830174799894</v>
      </c>
      <c r="C231">
        <v>27.476888151041798</v>
      </c>
      <c r="D231">
        <v>1592.3295626009501</v>
      </c>
      <c r="E231" s="1" t="s">
        <v>18</v>
      </c>
      <c r="F231">
        <v>6.1764134679242799</v>
      </c>
      <c r="G231">
        <v>5.60820497153298</v>
      </c>
      <c r="H231">
        <v>7</v>
      </c>
      <c r="I231">
        <v>61</v>
      </c>
      <c r="J231" s="1" t="s">
        <v>12</v>
      </c>
      <c r="K231" s="1" t="s">
        <v>13</v>
      </c>
      <c r="L231" t="str" cm="1">
        <f t="array" ref="L231">_xlfn.IFS(B231&gt;-80,"Excellent",B231&gt;-95,"Good",B231&gt;-110,"Fair",  TRUE,"Poor")</f>
        <v>Excellent</v>
      </c>
      <c r="M231" s="1" t="str">
        <f t="shared" si="3"/>
        <v>Normal</v>
      </c>
    </row>
    <row r="232" spans="1:13" x14ac:dyDescent="0.3">
      <c r="A232" s="3">
        <v>44794.809756944444</v>
      </c>
      <c r="B232">
        <v>-70.8260714813091</v>
      </c>
      <c r="C232">
        <v>15.8181749512925</v>
      </c>
      <c r="D232">
        <v>384.96782815083702</v>
      </c>
      <c r="E232" s="1" t="s">
        <v>18</v>
      </c>
      <c r="F232">
        <v>4.33629741326315</v>
      </c>
      <c r="G232">
        <v>8.0201443318938104</v>
      </c>
      <c r="H232">
        <v>10</v>
      </c>
      <c r="I232">
        <v>70</v>
      </c>
      <c r="J232" s="1" t="s">
        <v>12</v>
      </c>
      <c r="K232" s="1" t="s">
        <v>13</v>
      </c>
      <c r="L232" t="str" cm="1">
        <f t="array" ref="L232">_xlfn.IFS(B232&gt;-80,"Excellent",B232&gt;-95,"Good",B232&gt;-110,"Fair",  TRUE,"Poor")</f>
        <v>Excellent</v>
      </c>
      <c r="M232" s="1" t="str">
        <f t="shared" si="3"/>
        <v>Normal</v>
      </c>
    </row>
    <row r="233" spans="1:13" x14ac:dyDescent="0.3">
      <c r="A233" s="3">
        <v>44795.504108796296</v>
      </c>
      <c r="B233">
        <v>-84.217632881998895</v>
      </c>
      <c r="C233">
        <v>21.249552167155201</v>
      </c>
      <c r="D233">
        <v>889.09866430181796</v>
      </c>
      <c r="E233" s="1" t="s">
        <v>14</v>
      </c>
      <c r="F233">
        <v>5.0771689506086801</v>
      </c>
      <c r="G233">
        <v>5.2074395143618597</v>
      </c>
      <c r="H233">
        <v>4</v>
      </c>
      <c r="I233">
        <v>70</v>
      </c>
      <c r="J233" s="1" t="s">
        <v>12</v>
      </c>
      <c r="K233" s="1" t="s">
        <v>17</v>
      </c>
      <c r="L233" t="str" cm="1">
        <f t="array" ref="L233">_xlfn.IFS(B233&gt;-80,"Excellent",B233&gt;-95,"Good",B233&gt;-110,"Fair",  TRUE,"Poor")</f>
        <v>Good</v>
      </c>
      <c r="M233" s="1" t="str">
        <f t="shared" si="3"/>
        <v>Normal</v>
      </c>
    </row>
    <row r="234" spans="1:13" x14ac:dyDescent="0.3">
      <c r="A234" s="3">
        <v>44796.890069444446</v>
      </c>
      <c r="B234">
        <v>-81.844370912972295</v>
      </c>
      <c r="C234">
        <v>13.867640646742201</v>
      </c>
      <c r="D234">
        <v>188.02565515284601</v>
      </c>
      <c r="E234" s="1" t="s">
        <v>14</v>
      </c>
      <c r="F234">
        <v>1.9501751534728999</v>
      </c>
      <c r="G234">
        <v>8.6081124610691901</v>
      </c>
      <c r="H234">
        <v>5</v>
      </c>
      <c r="I234">
        <v>35</v>
      </c>
      <c r="J234" s="1" t="s">
        <v>15</v>
      </c>
      <c r="K234" s="1" t="s">
        <v>17</v>
      </c>
      <c r="L234" t="str" cm="1">
        <f t="array" ref="L234">_xlfn.IFS(B234&gt;-80,"Excellent",B234&gt;-95,"Good",B234&gt;-110,"Fair",  TRUE,"Poor")</f>
        <v>Good</v>
      </c>
      <c r="M234" s="1" t="str">
        <f t="shared" si="3"/>
        <v>Normal</v>
      </c>
    </row>
    <row r="235" spans="1:13" x14ac:dyDescent="0.3">
      <c r="A235" s="3">
        <v>44797.761840277781</v>
      </c>
      <c r="B235">
        <v>-101.980452531976</v>
      </c>
      <c r="C235">
        <v>19.003484099528698</v>
      </c>
      <c r="D235">
        <v>265.11333868168799</v>
      </c>
      <c r="E235" s="1" t="s">
        <v>11</v>
      </c>
      <c r="F235">
        <v>9.9308660651887894</v>
      </c>
      <c r="G235">
        <v>4.6556197059191904</v>
      </c>
      <c r="H235">
        <v>9</v>
      </c>
      <c r="I235">
        <v>19</v>
      </c>
      <c r="J235" s="1" t="s">
        <v>12</v>
      </c>
      <c r="K235" s="1" t="s">
        <v>13</v>
      </c>
      <c r="L235" t="str" cm="1">
        <f t="array" ref="L235">_xlfn.IFS(B235&gt;-80,"Excellent",B235&gt;-95,"Good",B235&gt;-110,"Fair",  TRUE,"Poor")</f>
        <v>Fair</v>
      </c>
      <c r="M235" s="1" t="str">
        <f t="shared" si="3"/>
        <v>Normal</v>
      </c>
    </row>
    <row r="236" spans="1:13" x14ac:dyDescent="0.3">
      <c r="A236" s="3">
        <v>44798.434895833336</v>
      </c>
      <c r="B236">
        <v>-113.173551608556</v>
      </c>
      <c r="C236">
        <v>24.705311177175201</v>
      </c>
      <c r="D236">
        <v>1479.9147363438301</v>
      </c>
      <c r="E236" s="1" t="s">
        <v>16</v>
      </c>
      <c r="F236">
        <v>0.34099671397496401</v>
      </c>
      <c r="G236">
        <v>8.0393066205984596</v>
      </c>
      <c r="H236">
        <v>9</v>
      </c>
      <c r="I236">
        <v>73</v>
      </c>
      <c r="J236" s="1" t="s">
        <v>12</v>
      </c>
      <c r="K236" s="1" t="s">
        <v>17</v>
      </c>
      <c r="L236" t="str" cm="1">
        <f t="array" ref="L236">_xlfn.IFS(B236&gt;-80,"Excellent",B236&gt;-95,"Good",B236&gt;-110,"Fair",  TRUE,"Poor")</f>
        <v>Poor</v>
      </c>
      <c r="M236" s="1" t="str">
        <f t="shared" si="3"/>
        <v>Normal</v>
      </c>
    </row>
    <row r="237" spans="1:13" x14ac:dyDescent="0.3">
      <c r="A237" s="3">
        <v>44799.840127314812</v>
      </c>
      <c r="B237">
        <v>-53.454848025856698</v>
      </c>
      <c r="C237">
        <v>23.423248617063098</v>
      </c>
      <c r="D237">
        <v>1151.8213536424601</v>
      </c>
      <c r="E237" s="1" t="s">
        <v>16</v>
      </c>
      <c r="F237">
        <v>2.1673795070297901</v>
      </c>
      <c r="G237">
        <v>9.0306131256803894</v>
      </c>
      <c r="H237">
        <v>3</v>
      </c>
      <c r="I237">
        <v>24</v>
      </c>
      <c r="J237" s="1" t="s">
        <v>12</v>
      </c>
      <c r="K237" s="1" t="s">
        <v>13</v>
      </c>
      <c r="L237" t="str" cm="1">
        <f t="array" ref="L237">_xlfn.IFS(B237&gt;-80,"Excellent",B237&gt;-95,"Good",B237&gt;-110,"Fair",  TRUE,"Poor")</f>
        <v>Excellent</v>
      </c>
      <c r="M237" s="1" t="str">
        <f t="shared" si="3"/>
        <v>Normal</v>
      </c>
    </row>
    <row r="238" spans="1:13" x14ac:dyDescent="0.3">
      <c r="A238" s="3">
        <v>44800.980740740742</v>
      </c>
      <c r="B238">
        <v>-96.921167539882802</v>
      </c>
      <c r="C238">
        <v>18.304822815899598</v>
      </c>
      <c r="D238">
        <v>447.38782345465802</v>
      </c>
      <c r="E238" s="1" t="s">
        <v>18</v>
      </c>
      <c r="F238">
        <v>6.7419781011504902</v>
      </c>
      <c r="G238">
        <v>3.9000735899332599</v>
      </c>
      <c r="H238">
        <v>4</v>
      </c>
      <c r="I238">
        <v>55</v>
      </c>
      <c r="J238" s="1" t="s">
        <v>12</v>
      </c>
      <c r="K238" s="1" t="s">
        <v>17</v>
      </c>
      <c r="L238" t="str" cm="1">
        <f t="array" ref="L238">_xlfn.IFS(B238&gt;-80,"Excellent",B238&gt;-95,"Good",B238&gt;-110,"Fair",  TRUE,"Poor")</f>
        <v>Fair</v>
      </c>
      <c r="M238" s="1" t="str">
        <f t="shared" si="3"/>
        <v>Normal</v>
      </c>
    </row>
    <row r="239" spans="1:13" x14ac:dyDescent="0.3">
      <c r="A239" s="3">
        <v>44801.593449074076</v>
      </c>
      <c r="B239">
        <v>-75.031892855566596</v>
      </c>
      <c r="C239">
        <v>24.744161107061899</v>
      </c>
      <c r="D239">
        <v>1615.49091264307</v>
      </c>
      <c r="E239" s="1" t="s">
        <v>16</v>
      </c>
      <c r="F239">
        <v>1.90649756115319</v>
      </c>
      <c r="G239">
        <v>1.0157239148608801</v>
      </c>
      <c r="H239">
        <v>3</v>
      </c>
      <c r="I239">
        <v>51</v>
      </c>
      <c r="J239" s="1" t="s">
        <v>15</v>
      </c>
      <c r="K239" s="1" t="s">
        <v>17</v>
      </c>
      <c r="L239" t="str" cm="1">
        <f t="array" ref="L239">_xlfn.IFS(B239&gt;-80,"Excellent",B239&gt;-95,"Good",B239&gt;-110,"Fair",  TRUE,"Poor")</f>
        <v>Excellent</v>
      </c>
      <c r="M239" s="1" t="str">
        <f t="shared" si="3"/>
        <v>Normal</v>
      </c>
    </row>
    <row r="240" spans="1:13" x14ac:dyDescent="0.3">
      <c r="A240" s="3">
        <v>44802.558159722219</v>
      </c>
      <c r="B240">
        <v>-51.967553937419702</v>
      </c>
      <c r="C240">
        <v>16.9151725883175</v>
      </c>
      <c r="D240">
        <v>1013.2835149653</v>
      </c>
      <c r="E240" s="1" t="s">
        <v>16</v>
      </c>
      <c r="F240">
        <v>2.6064236871988999</v>
      </c>
      <c r="G240">
        <v>6.9735272844960896</v>
      </c>
      <c r="H240">
        <v>3</v>
      </c>
      <c r="I240">
        <v>6</v>
      </c>
      <c r="J240" s="1" t="s">
        <v>12</v>
      </c>
      <c r="K240" s="1" t="s">
        <v>13</v>
      </c>
      <c r="L240" t="str" cm="1">
        <f t="array" ref="L240">_xlfn.IFS(B240&gt;-80,"Excellent",B240&gt;-95,"Good",B240&gt;-110,"Fair",  TRUE,"Poor")</f>
        <v>Excellent</v>
      </c>
      <c r="M240" s="1" t="str">
        <f t="shared" si="3"/>
        <v>Normal</v>
      </c>
    </row>
    <row r="241" spans="1:13" x14ac:dyDescent="0.3">
      <c r="A241" s="3">
        <v>44803.601631944446</v>
      </c>
      <c r="B241">
        <v>-91.845743915622194</v>
      </c>
      <c r="C241">
        <v>20.5406432903739</v>
      </c>
      <c r="D241">
        <v>115.85791888400399</v>
      </c>
      <c r="E241" s="1" t="s">
        <v>16</v>
      </c>
      <c r="F241">
        <v>2.8107474355699398</v>
      </c>
      <c r="G241">
        <v>2.3728580354383602</v>
      </c>
      <c r="H241">
        <v>7</v>
      </c>
      <c r="I241">
        <v>6</v>
      </c>
      <c r="J241" s="1" t="s">
        <v>12</v>
      </c>
      <c r="K241" s="1" t="s">
        <v>17</v>
      </c>
      <c r="L241" t="str" cm="1">
        <f t="array" ref="L241">_xlfn.IFS(B241&gt;-80,"Excellent",B241&gt;-95,"Good",B241&gt;-110,"Fair",  TRUE,"Poor")</f>
        <v>Good</v>
      </c>
      <c r="M241" s="1" t="str">
        <f t="shared" si="3"/>
        <v>Normal</v>
      </c>
    </row>
    <row r="242" spans="1:13" x14ac:dyDescent="0.3">
      <c r="A242" s="3">
        <v>44804.439131944448</v>
      </c>
      <c r="B242">
        <v>-98.229945720190798</v>
      </c>
      <c r="C242">
        <v>14.0839173019446</v>
      </c>
      <c r="D242">
        <v>484.05119972175498</v>
      </c>
      <c r="E242" s="1" t="s">
        <v>16</v>
      </c>
      <c r="F242">
        <v>3.8351790228661899</v>
      </c>
      <c r="G242">
        <v>2.4663347477392401</v>
      </c>
      <c r="H242">
        <v>1</v>
      </c>
      <c r="I242">
        <v>65</v>
      </c>
      <c r="J242" s="1" t="s">
        <v>12</v>
      </c>
      <c r="K242" s="1" t="s">
        <v>17</v>
      </c>
      <c r="L242" t="str" cm="1">
        <f t="array" ref="L242">_xlfn.IFS(B242&gt;-80,"Excellent",B242&gt;-95,"Good",B242&gt;-110,"Fair",  TRUE,"Poor")</f>
        <v>Fair</v>
      </c>
      <c r="M242" s="1" t="str">
        <f t="shared" si="3"/>
        <v>Normal</v>
      </c>
    </row>
    <row r="243" spans="1:13" x14ac:dyDescent="0.3">
      <c r="A243" s="3">
        <v>44805.519120370373</v>
      </c>
      <c r="B243">
        <v>-97.376020431881599</v>
      </c>
      <c r="C243">
        <v>18.3115956918774</v>
      </c>
      <c r="D243">
        <v>1398.5302949100001</v>
      </c>
      <c r="E243" s="1" t="s">
        <v>11</v>
      </c>
      <c r="F243">
        <v>5.1447415240683902</v>
      </c>
      <c r="G243">
        <v>2.0142194777130902</v>
      </c>
      <c r="H243">
        <v>7</v>
      </c>
      <c r="I243">
        <v>78</v>
      </c>
      <c r="J243" s="1" t="s">
        <v>12</v>
      </c>
      <c r="K243" s="1" t="s">
        <v>13</v>
      </c>
      <c r="L243" t="str" cm="1">
        <f t="array" ref="L243">_xlfn.IFS(B243&gt;-80,"Excellent",B243&gt;-95,"Good",B243&gt;-110,"Fair",  TRUE,"Poor")</f>
        <v>Fair</v>
      </c>
      <c r="M243" s="1" t="str">
        <f t="shared" si="3"/>
        <v>Normal</v>
      </c>
    </row>
    <row r="244" spans="1:13" x14ac:dyDescent="0.3">
      <c r="A244" s="3">
        <v>44806.522002314814</v>
      </c>
      <c r="B244">
        <v>-86.453657492678403</v>
      </c>
      <c r="C244">
        <v>10.494990427175701</v>
      </c>
      <c r="D244">
        <v>695.35964669111502</v>
      </c>
      <c r="E244" s="1" t="s">
        <v>11</v>
      </c>
      <c r="F244">
        <v>13.3285434094607</v>
      </c>
      <c r="G244">
        <v>9.6142384974631803</v>
      </c>
      <c r="H244">
        <v>5</v>
      </c>
      <c r="I244">
        <v>53</v>
      </c>
      <c r="J244" s="1" t="s">
        <v>15</v>
      </c>
      <c r="K244" s="1" t="s">
        <v>13</v>
      </c>
      <c r="L244" t="str" cm="1">
        <f t="array" ref="L244">_xlfn.IFS(B244&gt;-80,"Excellent",B244&gt;-95,"Good",B244&gt;-110,"Fair",  TRUE,"Poor")</f>
        <v>Good</v>
      </c>
      <c r="M244" s="1" t="str">
        <f t="shared" si="3"/>
        <v>High Loss</v>
      </c>
    </row>
    <row r="245" spans="1:13" x14ac:dyDescent="0.3">
      <c r="A245" s="3">
        <v>44807.421620370369</v>
      </c>
      <c r="B245">
        <v>-85.136104742128396</v>
      </c>
      <c r="C245">
        <v>13.4135777968902</v>
      </c>
      <c r="D245">
        <v>978.84987698774603</v>
      </c>
      <c r="E245" s="1" t="s">
        <v>11</v>
      </c>
      <c r="F245">
        <v>5.5730764271497604</v>
      </c>
      <c r="G245">
        <v>7.9325753138156898</v>
      </c>
      <c r="H245">
        <v>5</v>
      </c>
      <c r="I245">
        <v>53</v>
      </c>
      <c r="J245" s="1" t="s">
        <v>12</v>
      </c>
      <c r="K245" s="1" t="s">
        <v>13</v>
      </c>
      <c r="L245" t="str" cm="1">
        <f t="array" ref="L245">_xlfn.IFS(B245&gt;-80,"Excellent",B245&gt;-95,"Good",B245&gt;-110,"Fair",  TRUE,"Poor")</f>
        <v>Good</v>
      </c>
      <c r="M245" s="1" t="str">
        <f t="shared" si="3"/>
        <v>Normal</v>
      </c>
    </row>
    <row r="246" spans="1:13" x14ac:dyDescent="0.3">
      <c r="A246" s="3">
        <v>44808.77716435185</v>
      </c>
      <c r="B246">
        <v>-98.397535633766097</v>
      </c>
      <c r="C246">
        <v>28.510916234862499</v>
      </c>
      <c r="D246">
        <v>433.25220185486597</v>
      </c>
      <c r="E246" s="1" t="s">
        <v>18</v>
      </c>
      <c r="F246">
        <v>2.8802211590689999</v>
      </c>
      <c r="G246">
        <v>3.46409177521112</v>
      </c>
      <c r="H246">
        <v>10</v>
      </c>
      <c r="I246">
        <v>63</v>
      </c>
      <c r="J246" s="1" t="s">
        <v>12</v>
      </c>
      <c r="K246" s="1" t="s">
        <v>13</v>
      </c>
      <c r="L246" t="str" cm="1">
        <f t="array" ref="L246">_xlfn.IFS(B246&gt;-80,"Excellent",B246&gt;-95,"Good",B246&gt;-110,"Fair",  TRUE,"Poor")</f>
        <v>Fair</v>
      </c>
      <c r="M246" s="1" t="str">
        <f t="shared" si="3"/>
        <v>Normal</v>
      </c>
    </row>
    <row r="247" spans="1:13" x14ac:dyDescent="0.3">
      <c r="A247" s="3">
        <v>44809.979178240741</v>
      </c>
      <c r="B247">
        <v>-73.199709644521803</v>
      </c>
      <c r="C247">
        <v>28.567207003859401</v>
      </c>
      <c r="D247">
        <v>56.067844896201201</v>
      </c>
      <c r="E247" s="1" t="s">
        <v>14</v>
      </c>
      <c r="F247">
        <v>1.16781399904817</v>
      </c>
      <c r="G247">
        <v>4.04917128836553</v>
      </c>
      <c r="H247">
        <v>10</v>
      </c>
      <c r="I247">
        <v>77</v>
      </c>
      <c r="J247" s="1" t="s">
        <v>12</v>
      </c>
      <c r="K247" s="1" t="s">
        <v>13</v>
      </c>
      <c r="L247" t="str" cm="1">
        <f t="array" ref="L247">_xlfn.IFS(B247&gt;-80,"Excellent",B247&gt;-95,"Good",B247&gt;-110,"Fair",  TRUE,"Poor")</f>
        <v>Excellent</v>
      </c>
      <c r="M247" s="1" t="str">
        <f t="shared" si="3"/>
        <v>Normal</v>
      </c>
    </row>
    <row r="248" spans="1:13" x14ac:dyDescent="0.3">
      <c r="A248" s="3">
        <v>44810.812974537039</v>
      </c>
      <c r="B248">
        <v>-94.156252628956096</v>
      </c>
      <c r="C248">
        <v>16.717302463385799</v>
      </c>
      <c r="D248">
        <v>1018.50937545183</v>
      </c>
      <c r="E248" s="1" t="s">
        <v>18</v>
      </c>
      <c r="F248">
        <v>6.2224821976401303</v>
      </c>
      <c r="G248">
        <v>8.6883325052074607</v>
      </c>
      <c r="H248">
        <v>4</v>
      </c>
      <c r="I248">
        <v>13</v>
      </c>
      <c r="J248" s="1" t="s">
        <v>15</v>
      </c>
      <c r="K248" s="1" t="s">
        <v>13</v>
      </c>
      <c r="L248" t="str" cm="1">
        <f t="array" ref="L248">_xlfn.IFS(B248&gt;-80,"Excellent",B248&gt;-95,"Good",B248&gt;-110,"Fair",  TRUE,"Poor")</f>
        <v>Good</v>
      </c>
      <c r="M248" s="1" t="str">
        <f t="shared" si="3"/>
        <v>Normal</v>
      </c>
    </row>
    <row r="249" spans="1:13" x14ac:dyDescent="0.3">
      <c r="A249" s="3">
        <v>44811.937511574077</v>
      </c>
      <c r="B249">
        <v>-75.528280528885105</v>
      </c>
      <c r="C249">
        <v>16.0915286195658</v>
      </c>
      <c r="D249">
        <v>1692.6467982403699</v>
      </c>
      <c r="E249" s="1" t="s">
        <v>11</v>
      </c>
      <c r="F249">
        <v>7.83490097507228</v>
      </c>
      <c r="G249">
        <v>5.4530677031772496</v>
      </c>
      <c r="H249">
        <v>6</v>
      </c>
      <c r="I249">
        <v>55</v>
      </c>
      <c r="J249" s="1" t="s">
        <v>12</v>
      </c>
      <c r="K249" s="1" t="s">
        <v>13</v>
      </c>
      <c r="L249" t="str" cm="1">
        <f t="array" ref="L249">_xlfn.IFS(B249&gt;-80,"Excellent",B249&gt;-95,"Good",B249&gt;-110,"Fair",  TRUE,"Poor")</f>
        <v>Excellent</v>
      </c>
      <c r="M249" s="1" t="str">
        <f t="shared" si="3"/>
        <v>Normal</v>
      </c>
    </row>
    <row r="250" spans="1:13" x14ac:dyDescent="0.3">
      <c r="A250" s="3">
        <v>44812.800069444442</v>
      </c>
      <c r="B250">
        <v>-92.043712730421703</v>
      </c>
      <c r="C250">
        <v>21.852944608460302</v>
      </c>
      <c r="D250">
        <v>1063.97695648233</v>
      </c>
      <c r="E250" s="1" t="s">
        <v>18</v>
      </c>
      <c r="F250">
        <v>4.34842836428603</v>
      </c>
      <c r="G250">
        <v>2.82886818163654</v>
      </c>
      <c r="H250">
        <v>4</v>
      </c>
      <c r="I250">
        <v>78</v>
      </c>
      <c r="J250" s="1" t="s">
        <v>12</v>
      </c>
      <c r="K250" s="1" t="s">
        <v>17</v>
      </c>
      <c r="L250" t="str" cm="1">
        <f t="array" ref="L250">_xlfn.IFS(B250&gt;-80,"Excellent",B250&gt;-95,"Good",B250&gt;-110,"Fair",  TRUE,"Poor")</f>
        <v>Good</v>
      </c>
      <c r="M250" s="1" t="str">
        <f t="shared" si="3"/>
        <v>Normal</v>
      </c>
    </row>
    <row r="251" spans="1:13" x14ac:dyDescent="0.3">
      <c r="A251" s="3">
        <v>44813.906759259262</v>
      </c>
      <c r="B251">
        <v>-71.310143551426407</v>
      </c>
      <c r="C251">
        <v>28.617063793668599</v>
      </c>
      <c r="D251">
        <v>1266.2516119115701</v>
      </c>
      <c r="E251" s="1" t="s">
        <v>18</v>
      </c>
      <c r="F251">
        <v>3.5704522578940101</v>
      </c>
      <c r="G251">
        <v>2.7095037877009598</v>
      </c>
      <c r="H251">
        <v>7</v>
      </c>
      <c r="I251">
        <v>96</v>
      </c>
      <c r="J251" s="1" t="s">
        <v>15</v>
      </c>
      <c r="K251" s="1" t="s">
        <v>13</v>
      </c>
      <c r="L251" t="str" cm="1">
        <f t="array" ref="L251">_xlfn.IFS(B251&gt;-80,"Excellent",B251&gt;-95,"Good",B251&gt;-110,"Fair",  TRUE,"Poor")</f>
        <v>Excellent</v>
      </c>
      <c r="M251" s="1" t="str">
        <f t="shared" si="3"/>
        <v>Normal</v>
      </c>
    </row>
    <row r="252" spans="1:13" x14ac:dyDescent="0.3">
      <c r="A252" s="3">
        <v>44814.893460648149</v>
      </c>
      <c r="B252">
        <v>-72.896837516281707</v>
      </c>
      <c r="C252">
        <v>12.0321542263944</v>
      </c>
      <c r="D252">
        <v>940.52224390657602</v>
      </c>
      <c r="E252" s="1" t="s">
        <v>16</v>
      </c>
      <c r="F252">
        <v>1.4570876342052099</v>
      </c>
      <c r="G252">
        <v>5.8625143519134904</v>
      </c>
      <c r="H252">
        <v>5</v>
      </c>
      <c r="I252">
        <v>81</v>
      </c>
      <c r="J252" s="1" t="s">
        <v>12</v>
      </c>
      <c r="K252" s="1" t="s">
        <v>13</v>
      </c>
      <c r="L252" t="str" cm="1">
        <f t="array" ref="L252">_xlfn.IFS(B252&gt;-80,"Excellent",B252&gt;-95,"Good",B252&gt;-110,"Fair",  TRUE,"Poor")</f>
        <v>Excellent</v>
      </c>
      <c r="M252" s="1" t="str">
        <f t="shared" si="3"/>
        <v>Normal</v>
      </c>
    </row>
    <row r="253" spans="1:13" x14ac:dyDescent="0.3">
      <c r="A253" s="3">
        <v>44815.785208333335</v>
      </c>
      <c r="B253">
        <v>-76.5589303709191</v>
      </c>
      <c r="C253">
        <v>29.634486279510899</v>
      </c>
      <c r="D253">
        <v>968.74998645802305</v>
      </c>
      <c r="E253" s="1" t="s">
        <v>16</v>
      </c>
      <c r="F253">
        <v>2.3770306471390699</v>
      </c>
      <c r="G253">
        <v>4.4107535665648196</v>
      </c>
      <c r="H253">
        <v>2</v>
      </c>
      <c r="I253">
        <v>28</v>
      </c>
      <c r="J253" s="1" t="s">
        <v>15</v>
      </c>
      <c r="K253" s="1" t="s">
        <v>17</v>
      </c>
      <c r="L253" t="str" cm="1">
        <f t="array" ref="L253">_xlfn.IFS(B253&gt;-80,"Excellent",B253&gt;-95,"Good",B253&gt;-110,"Fair",  TRUE,"Poor")</f>
        <v>Excellent</v>
      </c>
      <c r="M253" s="1" t="str">
        <f t="shared" si="3"/>
        <v>Normal</v>
      </c>
    </row>
    <row r="254" spans="1:13" x14ac:dyDescent="0.3">
      <c r="A254" s="3">
        <v>44816.410520833335</v>
      </c>
      <c r="B254">
        <v>-93.576836956074203</v>
      </c>
      <c r="C254">
        <v>17.149120549447801</v>
      </c>
      <c r="D254">
        <v>931.05792122933894</v>
      </c>
      <c r="E254" s="1" t="s">
        <v>18</v>
      </c>
      <c r="F254">
        <v>3.1683801920778198</v>
      </c>
      <c r="G254">
        <v>1.61295062771144</v>
      </c>
      <c r="H254">
        <v>1</v>
      </c>
      <c r="I254">
        <v>40</v>
      </c>
      <c r="J254" s="1" t="s">
        <v>12</v>
      </c>
      <c r="K254" s="1" t="s">
        <v>13</v>
      </c>
      <c r="L254" t="str" cm="1">
        <f t="array" ref="L254">_xlfn.IFS(B254&gt;-80,"Excellent",B254&gt;-95,"Good",B254&gt;-110,"Fair",  TRUE,"Poor")</f>
        <v>Good</v>
      </c>
      <c r="M254" s="1" t="str">
        <f t="shared" si="3"/>
        <v>Normal</v>
      </c>
    </row>
    <row r="255" spans="1:13" x14ac:dyDescent="0.3">
      <c r="A255" s="3">
        <v>44817.980995370373</v>
      </c>
      <c r="B255">
        <v>-76.227942753385193</v>
      </c>
      <c r="C255">
        <v>12.518256488394201</v>
      </c>
      <c r="D255">
        <v>1415.0100124471001</v>
      </c>
      <c r="E255" s="1" t="s">
        <v>16</v>
      </c>
      <c r="F255">
        <v>2.0892660578493798</v>
      </c>
      <c r="G255">
        <v>0.41052416076548898</v>
      </c>
      <c r="H255">
        <v>9</v>
      </c>
      <c r="I255">
        <v>70</v>
      </c>
      <c r="J255" s="1" t="s">
        <v>12</v>
      </c>
      <c r="K255" s="1" t="s">
        <v>13</v>
      </c>
      <c r="L255" t="str" cm="1">
        <f t="array" ref="L255">_xlfn.IFS(B255&gt;-80,"Excellent",B255&gt;-95,"Good",B255&gt;-110,"Fair",  TRUE,"Poor")</f>
        <v>Excellent</v>
      </c>
      <c r="M255" s="1" t="str">
        <f t="shared" si="3"/>
        <v>Normal</v>
      </c>
    </row>
    <row r="256" spans="1:13" x14ac:dyDescent="0.3">
      <c r="A256" s="3">
        <v>44818.755057870374</v>
      </c>
      <c r="B256">
        <v>-74.226289699833799</v>
      </c>
      <c r="C256">
        <v>23.322659573126199</v>
      </c>
      <c r="D256">
        <v>1731.7737531155601</v>
      </c>
      <c r="E256" s="1" t="s">
        <v>14</v>
      </c>
      <c r="F256">
        <v>3.3432161440894901</v>
      </c>
      <c r="G256">
        <v>9.7691366069418297</v>
      </c>
      <c r="H256">
        <v>6</v>
      </c>
      <c r="I256">
        <v>16</v>
      </c>
      <c r="J256" s="1" t="s">
        <v>15</v>
      </c>
      <c r="K256" s="1" t="s">
        <v>17</v>
      </c>
      <c r="L256" t="str" cm="1">
        <f t="array" ref="L256">_xlfn.IFS(B256&gt;-80,"Excellent",B256&gt;-95,"Good",B256&gt;-110,"Fair",  TRUE,"Poor")</f>
        <v>Excellent</v>
      </c>
      <c r="M256" s="1" t="str">
        <f t="shared" si="3"/>
        <v>Normal</v>
      </c>
    </row>
    <row r="257" spans="1:13" x14ac:dyDescent="0.3">
      <c r="A257" s="3">
        <v>44819.939270833333</v>
      </c>
      <c r="B257">
        <v>-73.870507343724697</v>
      </c>
      <c r="C257">
        <v>16.8554648845621</v>
      </c>
      <c r="D257">
        <v>903.93005481489297</v>
      </c>
      <c r="E257" s="1" t="s">
        <v>11</v>
      </c>
      <c r="F257">
        <v>5.5162173008536097</v>
      </c>
      <c r="G257">
        <v>2.47112291648319</v>
      </c>
      <c r="H257">
        <v>1</v>
      </c>
      <c r="I257">
        <v>82</v>
      </c>
      <c r="J257" s="1" t="s">
        <v>12</v>
      </c>
      <c r="K257" s="1" t="s">
        <v>17</v>
      </c>
      <c r="L257" t="str" cm="1">
        <f t="array" ref="L257">_xlfn.IFS(B257&gt;-80,"Excellent",B257&gt;-95,"Good",B257&gt;-110,"Fair",  TRUE,"Poor")</f>
        <v>Excellent</v>
      </c>
      <c r="M257" s="1" t="str">
        <f t="shared" si="3"/>
        <v>Normal</v>
      </c>
    </row>
    <row r="258" spans="1:13" x14ac:dyDescent="0.3">
      <c r="A258" s="3">
        <v>44820.893472222226</v>
      </c>
      <c r="B258">
        <v>-92.561853691772598</v>
      </c>
      <c r="C258">
        <v>24.288313269346698</v>
      </c>
      <c r="D258">
        <v>1104.9500699079199</v>
      </c>
      <c r="E258" s="1" t="s">
        <v>11</v>
      </c>
      <c r="F258">
        <v>14.850276779704499</v>
      </c>
      <c r="G258">
        <v>2.69325561071263</v>
      </c>
      <c r="H258">
        <v>1</v>
      </c>
      <c r="I258">
        <v>83</v>
      </c>
      <c r="J258" s="1" t="s">
        <v>12</v>
      </c>
      <c r="K258" s="1" t="s">
        <v>13</v>
      </c>
      <c r="L258" t="str" cm="1">
        <f t="array" ref="L258">_xlfn.IFS(B258&gt;-80,"Excellent",B258&gt;-95,"Good",B258&gt;-110,"Fair",  TRUE,"Poor")</f>
        <v>Good</v>
      </c>
      <c r="M258" s="1" t="str">
        <f t="shared" si="3"/>
        <v>High Loss</v>
      </c>
    </row>
    <row r="259" spans="1:13" x14ac:dyDescent="0.3">
      <c r="A259" s="3">
        <v>44821.561736111114</v>
      </c>
      <c r="B259">
        <v>-68.623076263170802</v>
      </c>
      <c r="C259">
        <v>26.067287635446799</v>
      </c>
      <c r="D259">
        <v>231.53529268828899</v>
      </c>
      <c r="E259" s="1" t="s">
        <v>16</v>
      </c>
      <c r="F259">
        <v>1.3453079960418</v>
      </c>
      <c r="G259">
        <v>2.5840515765677199</v>
      </c>
      <c r="H259">
        <v>6</v>
      </c>
      <c r="I259">
        <v>57</v>
      </c>
      <c r="J259" s="1" t="s">
        <v>12</v>
      </c>
      <c r="K259" s="1" t="s">
        <v>17</v>
      </c>
      <c r="L259" t="str" cm="1">
        <f t="array" ref="L259">_xlfn.IFS(B259&gt;-80,"Excellent",B259&gt;-95,"Good",B259&gt;-110,"Fair",  TRUE,"Poor")</f>
        <v>Excellent</v>
      </c>
      <c r="M259" s="1" t="str">
        <f t="shared" ref="M259:M322" si="4">IF(F259&gt;10,"High Loss","Normal")</f>
        <v>Normal</v>
      </c>
    </row>
    <row r="260" spans="1:13" x14ac:dyDescent="0.3">
      <c r="A260" s="3">
        <v>44822.597418981481</v>
      </c>
      <c r="B260">
        <v>-88.641244667711604</v>
      </c>
      <c r="C260">
        <v>27.921755147472702</v>
      </c>
      <c r="D260">
        <v>1207.2370503490799</v>
      </c>
      <c r="E260" s="1" t="s">
        <v>11</v>
      </c>
      <c r="F260">
        <v>5.3808807304588004</v>
      </c>
      <c r="G260">
        <v>9.0015047570973898</v>
      </c>
      <c r="H260">
        <v>7</v>
      </c>
      <c r="I260">
        <v>58</v>
      </c>
      <c r="J260" s="1" t="s">
        <v>15</v>
      </c>
      <c r="K260" s="1" t="s">
        <v>13</v>
      </c>
      <c r="L260" t="str" cm="1">
        <f t="array" ref="L260">_xlfn.IFS(B260&gt;-80,"Excellent",B260&gt;-95,"Good",B260&gt;-110,"Fair",  TRUE,"Poor")</f>
        <v>Good</v>
      </c>
      <c r="M260" s="1" t="str">
        <f t="shared" si="4"/>
        <v>Normal</v>
      </c>
    </row>
    <row r="261" spans="1:13" x14ac:dyDescent="0.3">
      <c r="A261" s="3">
        <v>44823.976770833331</v>
      </c>
      <c r="B261">
        <v>-60.507473201641503</v>
      </c>
      <c r="C261">
        <v>10.7699813669382</v>
      </c>
      <c r="D261">
        <v>61.721845499401297</v>
      </c>
      <c r="E261" s="1" t="s">
        <v>14</v>
      </c>
      <c r="F261">
        <v>0.76645533663083498</v>
      </c>
      <c r="G261">
        <v>5.2013272883687103</v>
      </c>
      <c r="H261">
        <v>1</v>
      </c>
      <c r="I261">
        <v>3</v>
      </c>
      <c r="J261" s="1" t="s">
        <v>15</v>
      </c>
      <c r="K261" s="1" t="s">
        <v>17</v>
      </c>
      <c r="L261" t="str" cm="1">
        <f t="array" ref="L261">_xlfn.IFS(B261&gt;-80,"Excellent",B261&gt;-95,"Good",B261&gt;-110,"Fair",  TRUE,"Poor")</f>
        <v>Excellent</v>
      </c>
      <c r="M261" s="1" t="str">
        <f t="shared" si="4"/>
        <v>Normal</v>
      </c>
    </row>
    <row r="262" spans="1:13" x14ac:dyDescent="0.3">
      <c r="A262" s="3">
        <v>44824.889826388891</v>
      </c>
      <c r="B262">
        <v>-78.260905703126895</v>
      </c>
      <c r="C262">
        <v>19.117961627464101</v>
      </c>
      <c r="D262">
        <v>1450.7809747251399</v>
      </c>
      <c r="E262" s="1" t="s">
        <v>11</v>
      </c>
      <c r="F262">
        <v>11.3333402968186</v>
      </c>
      <c r="G262">
        <v>3.62523198643723</v>
      </c>
      <c r="H262">
        <v>10</v>
      </c>
      <c r="I262">
        <v>70</v>
      </c>
      <c r="J262" s="1" t="s">
        <v>15</v>
      </c>
      <c r="K262" s="1" t="s">
        <v>17</v>
      </c>
      <c r="L262" t="str" cm="1">
        <f t="array" ref="L262">_xlfn.IFS(B262&gt;-80,"Excellent",B262&gt;-95,"Good",B262&gt;-110,"Fair",  TRUE,"Poor")</f>
        <v>Excellent</v>
      </c>
      <c r="M262" s="1" t="str">
        <f t="shared" si="4"/>
        <v>High Loss</v>
      </c>
    </row>
    <row r="263" spans="1:13" x14ac:dyDescent="0.3">
      <c r="A263" s="3">
        <v>44825.646493055552</v>
      </c>
      <c r="B263">
        <v>-93.534548761886597</v>
      </c>
      <c r="C263">
        <v>18.289058917581102</v>
      </c>
      <c r="D263">
        <v>383.69425004872301</v>
      </c>
      <c r="E263" s="1" t="s">
        <v>14</v>
      </c>
      <c r="F263">
        <v>3.7919389432727701</v>
      </c>
      <c r="G263">
        <v>7.3171346842550502</v>
      </c>
      <c r="H263">
        <v>2</v>
      </c>
      <c r="I263">
        <v>16</v>
      </c>
      <c r="J263" s="1" t="s">
        <v>15</v>
      </c>
      <c r="K263" s="1" t="s">
        <v>13</v>
      </c>
      <c r="L263" t="str" cm="1">
        <f t="array" ref="L263">_xlfn.IFS(B263&gt;-80,"Excellent",B263&gt;-95,"Good",B263&gt;-110,"Fair",  TRUE,"Poor")</f>
        <v>Good</v>
      </c>
      <c r="M263" s="1" t="str">
        <f t="shared" si="4"/>
        <v>Normal</v>
      </c>
    </row>
    <row r="264" spans="1:13" x14ac:dyDescent="0.3">
      <c r="A264" s="3">
        <v>44826.527303240742</v>
      </c>
      <c r="B264">
        <v>-80.904505162156397</v>
      </c>
      <c r="C264">
        <v>14.1259773421414</v>
      </c>
      <c r="D264">
        <v>1506.49695154152</v>
      </c>
      <c r="E264" s="1" t="s">
        <v>11</v>
      </c>
      <c r="F264">
        <v>13.547747071069599</v>
      </c>
      <c r="G264">
        <v>6.8904006016608701</v>
      </c>
      <c r="H264">
        <v>3</v>
      </c>
      <c r="I264">
        <v>8</v>
      </c>
      <c r="J264" s="1" t="s">
        <v>12</v>
      </c>
      <c r="K264" s="1" t="s">
        <v>13</v>
      </c>
      <c r="L264" t="str" cm="1">
        <f t="array" ref="L264">_xlfn.IFS(B264&gt;-80,"Excellent",B264&gt;-95,"Good",B264&gt;-110,"Fair",  TRUE,"Poor")</f>
        <v>Good</v>
      </c>
      <c r="M264" s="1" t="str">
        <f t="shared" si="4"/>
        <v>High Loss</v>
      </c>
    </row>
    <row r="265" spans="1:13" x14ac:dyDescent="0.3">
      <c r="A265" s="3">
        <v>44827.48778935185</v>
      </c>
      <c r="B265">
        <v>-81.9440655783295</v>
      </c>
      <c r="C265">
        <v>23.874998734285501</v>
      </c>
      <c r="D265">
        <v>939.62796023033695</v>
      </c>
      <c r="E265" s="1" t="s">
        <v>18</v>
      </c>
      <c r="F265">
        <v>5.6239443645395299</v>
      </c>
      <c r="G265">
        <v>3.7577354593518502</v>
      </c>
      <c r="H265">
        <v>10</v>
      </c>
      <c r="I265">
        <v>62</v>
      </c>
      <c r="J265" s="1" t="s">
        <v>15</v>
      </c>
      <c r="K265" s="1" t="s">
        <v>13</v>
      </c>
      <c r="L265" t="str" cm="1">
        <f t="array" ref="L265">_xlfn.IFS(B265&gt;-80,"Excellent",B265&gt;-95,"Good",B265&gt;-110,"Fair",  TRUE,"Poor")</f>
        <v>Good</v>
      </c>
      <c r="M265" s="1" t="str">
        <f t="shared" si="4"/>
        <v>Normal</v>
      </c>
    </row>
    <row r="266" spans="1:13" x14ac:dyDescent="0.3">
      <c r="A266" s="3">
        <v>44828.415034722224</v>
      </c>
      <c r="B266">
        <v>-87.303431000182201</v>
      </c>
      <c r="C266">
        <v>27.1572451423907</v>
      </c>
      <c r="D266">
        <v>236.28436445969501</v>
      </c>
      <c r="E266" s="1" t="s">
        <v>14</v>
      </c>
      <c r="F266">
        <v>5.7671028632876897</v>
      </c>
      <c r="G266">
        <v>4.8723247585370801</v>
      </c>
      <c r="H266">
        <v>4</v>
      </c>
      <c r="I266">
        <v>69</v>
      </c>
      <c r="J266" s="1" t="s">
        <v>12</v>
      </c>
      <c r="K266" s="1" t="s">
        <v>17</v>
      </c>
      <c r="L266" t="str" cm="1">
        <f t="array" ref="L266">_xlfn.IFS(B266&gt;-80,"Excellent",B266&gt;-95,"Good",B266&gt;-110,"Fair",  TRUE,"Poor")</f>
        <v>Good</v>
      </c>
      <c r="M266" s="1" t="str">
        <f t="shared" si="4"/>
        <v>Normal</v>
      </c>
    </row>
    <row r="267" spans="1:13" x14ac:dyDescent="0.3">
      <c r="A267" s="3">
        <v>44829.704675925925</v>
      </c>
      <c r="B267">
        <v>-80.456261405207101</v>
      </c>
      <c r="C267">
        <v>24.5700603306868</v>
      </c>
      <c r="D267">
        <v>664.52862579381895</v>
      </c>
      <c r="E267" s="1" t="s">
        <v>16</v>
      </c>
      <c r="F267">
        <v>1.46648402785916</v>
      </c>
      <c r="G267">
        <v>2.6854984978306899</v>
      </c>
      <c r="H267">
        <v>9</v>
      </c>
      <c r="I267">
        <v>71</v>
      </c>
      <c r="J267" s="1" t="s">
        <v>12</v>
      </c>
      <c r="K267" s="1" t="s">
        <v>13</v>
      </c>
      <c r="L267" t="str" cm="1">
        <f t="array" ref="L267">_xlfn.IFS(B267&gt;-80,"Excellent",B267&gt;-95,"Good",B267&gt;-110,"Fair",  TRUE,"Poor")</f>
        <v>Good</v>
      </c>
      <c r="M267" s="1" t="str">
        <f t="shared" si="4"/>
        <v>Normal</v>
      </c>
    </row>
    <row r="268" spans="1:13" x14ac:dyDescent="0.3">
      <c r="A268" s="3">
        <v>44830.860914351855</v>
      </c>
      <c r="B268">
        <v>-93.551337540505003</v>
      </c>
      <c r="C268">
        <v>26.216894104673301</v>
      </c>
      <c r="D268">
        <v>1707.27657965307</v>
      </c>
      <c r="E268" s="1" t="s">
        <v>14</v>
      </c>
      <c r="F268">
        <v>6.8889808668545296</v>
      </c>
      <c r="G268">
        <v>1.3095034357625499</v>
      </c>
      <c r="H268">
        <v>1</v>
      </c>
      <c r="I268">
        <v>77</v>
      </c>
      <c r="J268" s="1" t="s">
        <v>15</v>
      </c>
      <c r="K268" s="1" t="s">
        <v>13</v>
      </c>
      <c r="L268" t="str" cm="1">
        <f t="array" ref="L268">_xlfn.IFS(B268&gt;-80,"Excellent",B268&gt;-95,"Good",B268&gt;-110,"Fair",  TRUE,"Poor")</f>
        <v>Good</v>
      </c>
      <c r="M268" s="1" t="str">
        <f t="shared" si="4"/>
        <v>Normal</v>
      </c>
    </row>
    <row r="269" spans="1:13" x14ac:dyDescent="0.3">
      <c r="A269" s="3">
        <v>44831.465150462966</v>
      </c>
      <c r="B269">
        <v>-95.317189028437397</v>
      </c>
      <c r="C269">
        <v>21.043610163952799</v>
      </c>
      <c r="D269">
        <v>233.57418532793599</v>
      </c>
      <c r="E269" s="1" t="s">
        <v>16</v>
      </c>
      <c r="F269">
        <v>2.8260469856234298</v>
      </c>
      <c r="G269">
        <v>8.9710034108678194</v>
      </c>
      <c r="H269">
        <v>1</v>
      </c>
      <c r="I269">
        <v>37</v>
      </c>
      <c r="J269" s="1" t="s">
        <v>15</v>
      </c>
      <c r="K269" s="1" t="s">
        <v>13</v>
      </c>
      <c r="L269" t="str" cm="1">
        <f t="array" ref="L269">_xlfn.IFS(B269&gt;-80,"Excellent",B269&gt;-95,"Good",B269&gt;-110,"Fair",  TRUE,"Poor")</f>
        <v>Fair</v>
      </c>
      <c r="M269" s="1" t="str">
        <f t="shared" si="4"/>
        <v>Normal</v>
      </c>
    </row>
    <row r="270" spans="1:13" x14ac:dyDescent="0.3">
      <c r="A270" s="3">
        <v>44832.584502314814</v>
      </c>
      <c r="B270">
        <v>-76.513799193439993</v>
      </c>
      <c r="C270">
        <v>28.574764045638201</v>
      </c>
      <c r="D270">
        <v>387.29558959500599</v>
      </c>
      <c r="E270" s="1" t="s">
        <v>18</v>
      </c>
      <c r="F270">
        <v>4.9515892728209501</v>
      </c>
      <c r="G270">
        <v>0.73583009013914502</v>
      </c>
      <c r="H270">
        <v>7</v>
      </c>
      <c r="I270">
        <v>80</v>
      </c>
      <c r="J270" s="1" t="s">
        <v>12</v>
      </c>
      <c r="K270" s="1" t="s">
        <v>13</v>
      </c>
      <c r="L270" t="str" cm="1">
        <f t="array" ref="L270">_xlfn.IFS(B270&gt;-80,"Excellent",B270&gt;-95,"Good",B270&gt;-110,"Fair",  TRUE,"Poor")</f>
        <v>Excellent</v>
      </c>
      <c r="M270" s="1" t="str">
        <f t="shared" si="4"/>
        <v>Normal</v>
      </c>
    </row>
    <row r="271" spans="1:13" x14ac:dyDescent="0.3">
      <c r="A271" s="3">
        <v>44833.391111111108</v>
      </c>
      <c r="B271">
        <v>-73.135968477139798</v>
      </c>
      <c r="C271">
        <v>16.6318253793326</v>
      </c>
      <c r="D271">
        <v>323.210796665852</v>
      </c>
      <c r="E271" s="1" t="s">
        <v>16</v>
      </c>
      <c r="F271">
        <v>3.8869429225394798</v>
      </c>
      <c r="G271">
        <v>9.3631639333431096</v>
      </c>
      <c r="H271">
        <v>9</v>
      </c>
      <c r="I271">
        <v>21</v>
      </c>
      <c r="J271" s="1" t="s">
        <v>12</v>
      </c>
      <c r="K271" s="1" t="s">
        <v>13</v>
      </c>
      <c r="L271" t="str" cm="1">
        <f t="array" ref="L271">_xlfn.IFS(B271&gt;-80,"Excellent",B271&gt;-95,"Good",B271&gt;-110,"Fair",  TRUE,"Poor")</f>
        <v>Excellent</v>
      </c>
      <c r="M271" s="1" t="str">
        <f t="shared" si="4"/>
        <v>Normal</v>
      </c>
    </row>
    <row r="272" spans="1:13" x14ac:dyDescent="0.3">
      <c r="A272" s="3">
        <v>44834.557187500002</v>
      </c>
      <c r="B272">
        <v>-77.132303266003703</v>
      </c>
      <c r="C272">
        <v>26.4992859643625</v>
      </c>
      <c r="D272">
        <v>390.47139787216997</v>
      </c>
      <c r="E272" s="1" t="s">
        <v>14</v>
      </c>
      <c r="F272">
        <v>2.87004501954608</v>
      </c>
      <c r="G272">
        <v>3.9422892539074401</v>
      </c>
      <c r="H272">
        <v>8</v>
      </c>
      <c r="I272">
        <v>23</v>
      </c>
      <c r="J272" s="1" t="s">
        <v>15</v>
      </c>
      <c r="K272" s="1" t="s">
        <v>17</v>
      </c>
      <c r="L272" t="str" cm="1">
        <f t="array" ref="L272">_xlfn.IFS(B272&gt;-80,"Excellent",B272&gt;-95,"Good",B272&gt;-110,"Fair",  TRUE,"Poor")</f>
        <v>Excellent</v>
      </c>
      <c r="M272" s="1" t="str">
        <f t="shared" si="4"/>
        <v>Normal</v>
      </c>
    </row>
    <row r="273" spans="1:13" x14ac:dyDescent="0.3">
      <c r="A273" s="3">
        <v>44835.764907407407</v>
      </c>
      <c r="B273">
        <v>-71.674096595091697</v>
      </c>
      <c r="C273">
        <v>26.1552408943183</v>
      </c>
      <c r="D273">
        <v>1241.4459180082599</v>
      </c>
      <c r="E273" s="1" t="s">
        <v>16</v>
      </c>
      <c r="F273">
        <v>4.7485450799264797</v>
      </c>
      <c r="G273">
        <v>5.8019198700733902E-2</v>
      </c>
      <c r="H273">
        <v>8</v>
      </c>
      <c r="I273">
        <v>19</v>
      </c>
      <c r="J273" s="1" t="s">
        <v>12</v>
      </c>
      <c r="K273" s="1" t="s">
        <v>13</v>
      </c>
      <c r="L273" t="str" cm="1">
        <f t="array" ref="L273">_xlfn.IFS(B273&gt;-80,"Excellent",B273&gt;-95,"Good",B273&gt;-110,"Fair",  TRUE,"Poor")</f>
        <v>Excellent</v>
      </c>
      <c r="M273" s="1" t="str">
        <f t="shared" si="4"/>
        <v>Normal</v>
      </c>
    </row>
    <row r="274" spans="1:13" x14ac:dyDescent="0.3">
      <c r="A274" s="3">
        <v>44836.397986111115</v>
      </c>
      <c r="B274">
        <v>-69.024188331409206</v>
      </c>
      <c r="C274">
        <v>27.0415807050307</v>
      </c>
      <c r="D274">
        <v>637.63795280260501</v>
      </c>
      <c r="E274" s="1" t="s">
        <v>16</v>
      </c>
      <c r="F274">
        <v>0.32352374504269799</v>
      </c>
      <c r="G274">
        <v>3.4904168689833899</v>
      </c>
      <c r="H274">
        <v>8</v>
      </c>
      <c r="I274">
        <v>85</v>
      </c>
      <c r="J274" s="1" t="s">
        <v>12</v>
      </c>
      <c r="K274" s="1" t="s">
        <v>17</v>
      </c>
      <c r="L274" t="str" cm="1">
        <f t="array" ref="L274">_xlfn.IFS(B274&gt;-80,"Excellent",B274&gt;-95,"Good",B274&gt;-110,"Fair",  TRUE,"Poor")</f>
        <v>Excellent</v>
      </c>
      <c r="M274" s="1" t="str">
        <f t="shared" si="4"/>
        <v>Normal</v>
      </c>
    </row>
    <row r="275" spans="1:13" x14ac:dyDescent="0.3">
      <c r="A275" s="3">
        <v>44837.502442129633</v>
      </c>
      <c r="B275">
        <v>-94.204647548538603</v>
      </c>
      <c r="C275">
        <v>21.3724393004129</v>
      </c>
      <c r="D275">
        <v>557.01199535994203</v>
      </c>
      <c r="E275" s="1" t="s">
        <v>16</v>
      </c>
      <c r="F275">
        <v>0.48754933932227401</v>
      </c>
      <c r="G275">
        <v>1.4150161879990699</v>
      </c>
      <c r="H275">
        <v>3</v>
      </c>
      <c r="I275">
        <v>5</v>
      </c>
      <c r="J275" s="1" t="s">
        <v>12</v>
      </c>
      <c r="K275" s="1" t="s">
        <v>17</v>
      </c>
      <c r="L275" t="str" cm="1">
        <f t="array" ref="L275">_xlfn.IFS(B275&gt;-80,"Excellent",B275&gt;-95,"Good",B275&gt;-110,"Fair",  TRUE,"Poor")</f>
        <v>Good</v>
      </c>
      <c r="M275" s="1" t="str">
        <f t="shared" si="4"/>
        <v>Normal</v>
      </c>
    </row>
    <row r="276" spans="1:13" x14ac:dyDescent="0.3">
      <c r="A276" s="3">
        <v>44838.983761574076</v>
      </c>
      <c r="B276">
        <v>-50.510929230737702</v>
      </c>
      <c r="C276">
        <v>12.440903014026301</v>
      </c>
      <c r="D276">
        <v>289.56111699885798</v>
      </c>
      <c r="E276" s="1" t="s">
        <v>16</v>
      </c>
      <c r="F276">
        <v>1.42390499257198</v>
      </c>
      <c r="G276">
        <v>3.1126923136659301</v>
      </c>
      <c r="H276">
        <v>10</v>
      </c>
      <c r="I276">
        <v>22</v>
      </c>
      <c r="J276" s="1" t="s">
        <v>15</v>
      </c>
      <c r="K276" s="1" t="s">
        <v>13</v>
      </c>
      <c r="L276" t="str" cm="1">
        <f t="array" ref="L276">_xlfn.IFS(B276&gt;-80,"Excellent",B276&gt;-95,"Good",B276&gt;-110,"Fair",  TRUE,"Poor")</f>
        <v>Excellent</v>
      </c>
      <c r="M276" s="1" t="str">
        <f t="shared" si="4"/>
        <v>Normal</v>
      </c>
    </row>
    <row r="277" spans="1:13" x14ac:dyDescent="0.3">
      <c r="A277" s="3">
        <v>44839.67423611111</v>
      </c>
      <c r="B277">
        <v>-91.202814074053293</v>
      </c>
      <c r="C277">
        <v>19.3517064017521</v>
      </c>
      <c r="D277">
        <v>1370.61466317183</v>
      </c>
      <c r="E277" s="1" t="s">
        <v>18</v>
      </c>
      <c r="F277">
        <v>2.7625040573846902</v>
      </c>
      <c r="G277">
        <v>9.3739802531004894</v>
      </c>
      <c r="H277">
        <v>10</v>
      </c>
      <c r="I277">
        <v>51</v>
      </c>
      <c r="J277" s="1" t="s">
        <v>12</v>
      </c>
      <c r="K277" s="1" t="s">
        <v>17</v>
      </c>
      <c r="L277" t="str" cm="1">
        <f t="array" ref="L277">_xlfn.IFS(B277&gt;-80,"Excellent",B277&gt;-95,"Good",B277&gt;-110,"Fair",  TRUE,"Poor")</f>
        <v>Good</v>
      </c>
      <c r="M277" s="1" t="str">
        <f t="shared" si="4"/>
        <v>Normal</v>
      </c>
    </row>
    <row r="278" spans="1:13" x14ac:dyDescent="0.3">
      <c r="A278" s="3">
        <v>44840.501319444447</v>
      </c>
      <c r="B278">
        <v>-75.475343405349406</v>
      </c>
      <c r="C278">
        <v>28.957665727536501</v>
      </c>
      <c r="D278">
        <v>1156.3876713504001</v>
      </c>
      <c r="E278" s="1" t="s">
        <v>11</v>
      </c>
      <c r="F278">
        <v>9.5103510387868706</v>
      </c>
      <c r="G278">
        <v>7.5631374685608996</v>
      </c>
      <c r="H278">
        <v>9</v>
      </c>
      <c r="I278">
        <v>89</v>
      </c>
      <c r="J278" s="1" t="s">
        <v>15</v>
      </c>
      <c r="K278" s="1" t="s">
        <v>13</v>
      </c>
      <c r="L278" t="str" cm="1">
        <f t="array" ref="L278">_xlfn.IFS(B278&gt;-80,"Excellent",B278&gt;-95,"Good",B278&gt;-110,"Fair",  TRUE,"Poor")</f>
        <v>Excellent</v>
      </c>
      <c r="M278" s="1" t="str">
        <f t="shared" si="4"/>
        <v>Normal</v>
      </c>
    </row>
    <row r="279" spans="1:13" x14ac:dyDescent="0.3">
      <c r="A279" s="3">
        <v>44841.746018518519</v>
      </c>
      <c r="B279">
        <v>-88.442806206696005</v>
      </c>
      <c r="C279">
        <v>29.813945077623799</v>
      </c>
      <c r="D279">
        <v>972.75975510294597</v>
      </c>
      <c r="E279" s="1" t="s">
        <v>18</v>
      </c>
      <c r="F279">
        <v>4.8208466771521596</v>
      </c>
      <c r="G279">
        <v>9.0223937273674295</v>
      </c>
      <c r="H279">
        <v>10</v>
      </c>
      <c r="I279">
        <v>45</v>
      </c>
      <c r="J279" s="1" t="s">
        <v>12</v>
      </c>
      <c r="K279" s="1" t="s">
        <v>17</v>
      </c>
      <c r="L279" t="str" cm="1">
        <f t="array" ref="L279">_xlfn.IFS(B279&gt;-80,"Excellent",B279&gt;-95,"Good",B279&gt;-110,"Fair",  TRUE,"Poor")</f>
        <v>Good</v>
      </c>
      <c r="M279" s="1" t="str">
        <f t="shared" si="4"/>
        <v>Normal</v>
      </c>
    </row>
    <row r="280" spans="1:13" x14ac:dyDescent="0.3">
      <c r="A280" s="3">
        <v>44842.919872685183</v>
      </c>
      <c r="B280">
        <v>-112.68873068969199</v>
      </c>
      <c r="C280">
        <v>16.617144046033001</v>
      </c>
      <c r="D280">
        <v>1221.2528504757699</v>
      </c>
      <c r="E280" s="1" t="s">
        <v>16</v>
      </c>
      <c r="F280">
        <v>1.80473256010384</v>
      </c>
      <c r="G280">
        <v>6.2300034520664003</v>
      </c>
      <c r="H280">
        <v>1</v>
      </c>
      <c r="I280">
        <v>21</v>
      </c>
      <c r="J280" s="1" t="s">
        <v>12</v>
      </c>
      <c r="K280" s="1" t="s">
        <v>13</v>
      </c>
      <c r="L280" t="str" cm="1">
        <f t="array" ref="L280">_xlfn.IFS(B280&gt;-80,"Excellent",B280&gt;-95,"Good",B280&gt;-110,"Fair",  TRUE,"Poor")</f>
        <v>Poor</v>
      </c>
      <c r="M280" s="1" t="str">
        <f t="shared" si="4"/>
        <v>Normal</v>
      </c>
    </row>
    <row r="281" spans="1:13" x14ac:dyDescent="0.3">
      <c r="A281" s="3">
        <v>44843.816736111112</v>
      </c>
      <c r="B281">
        <v>-53.639040999834798</v>
      </c>
      <c r="C281">
        <v>20.4075713766508</v>
      </c>
      <c r="D281">
        <v>1295.82061781574</v>
      </c>
      <c r="E281" s="1" t="s">
        <v>16</v>
      </c>
      <c r="F281">
        <v>1.36098494164378</v>
      </c>
      <c r="G281">
        <v>0.138415450530288</v>
      </c>
      <c r="H281">
        <v>2</v>
      </c>
      <c r="I281">
        <v>73</v>
      </c>
      <c r="J281" s="1" t="s">
        <v>12</v>
      </c>
      <c r="K281" s="1" t="s">
        <v>17</v>
      </c>
      <c r="L281" t="str" cm="1">
        <f t="array" ref="L281">_xlfn.IFS(B281&gt;-80,"Excellent",B281&gt;-95,"Good",B281&gt;-110,"Fair",  TRUE,"Poor")</f>
        <v>Excellent</v>
      </c>
      <c r="M281" s="1" t="str">
        <f t="shared" si="4"/>
        <v>Normal</v>
      </c>
    </row>
    <row r="282" spans="1:13" x14ac:dyDescent="0.3">
      <c r="A282" s="3">
        <v>44844.931458333333</v>
      </c>
      <c r="B282">
        <v>-85.826260894663804</v>
      </c>
      <c r="C282">
        <v>19.749517326876301</v>
      </c>
      <c r="D282">
        <v>629.26776996565604</v>
      </c>
      <c r="E282" s="1" t="s">
        <v>11</v>
      </c>
      <c r="F282">
        <v>9.7808239640529404</v>
      </c>
      <c r="G282">
        <v>8.4035083305324303</v>
      </c>
      <c r="H282">
        <v>6</v>
      </c>
      <c r="I282">
        <v>18</v>
      </c>
      <c r="J282" s="1" t="s">
        <v>12</v>
      </c>
      <c r="K282" s="1" t="s">
        <v>17</v>
      </c>
      <c r="L282" t="str" cm="1">
        <f t="array" ref="L282">_xlfn.IFS(B282&gt;-80,"Excellent",B282&gt;-95,"Good",B282&gt;-110,"Fair",  TRUE,"Poor")</f>
        <v>Good</v>
      </c>
      <c r="M282" s="1" t="str">
        <f t="shared" si="4"/>
        <v>Normal</v>
      </c>
    </row>
    <row r="283" spans="1:13" x14ac:dyDescent="0.3">
      <c r="A283" s="3">
        <v>44845.8753125</v>
      </c>
      <c r="B283">
        <v>-78.908158569243497</v>
      </c>
      <c r="C283">
        <v>13.5730181741322</v>
      </c>
      <c r="D283">
        <v>1553.6439729968099</v>
      </c>
      <c r="E283" s="1" t="s">
        <v>18</v>
      </c>
      <c r="F283">
        <v>4.4943738559601103</v>
      </c>
      <c r="G283">
        <v>1.0464973282622301</v>
      </c>
      <c r="H283">
        <v>1</v>
      </c>
      <c r="I283">
        <v>66</v>
      </c>
      <c r="J283" s="1" t="s">
        <v>15</v>
      </c>
      <c r="K283" s="1" t="s">
        <v>17</v>
      </c>
      <c r="L283" t="str" cm="1">
        <f t="array" ref="L283">_xlfn.IFS(B283&gt;-80,"Excellent",B283&gt;-95,"Good",B283&gt;-110,"Fair",  TRUE,"Poor")</f>
        <v>Excellent</v>
      </c>
      <c r="M283" s="1" t="str">
        <f t="shared" si="4"/>
        <v>Normal</v>
      </c>
    </row>
    <row r="284" spans="1:13" x14ac:dyDescent="0.3">
      <c r="A284" s="3">
        <v>44846.560624999998</v>
      </c>
      <c r="B284">
        <v>-94.372578807200995</v>
      </c>
      <c r="C284">
        <v>17.7120085088238</v>
      </c>
      <c r="D284">
        <v>875.60656452066496</v>
      </c>
      <c r="E284" s="1" t="s">
        <v>16</v>
      </c>
      <c r="F284">
        <v>1.9515726436212399</v>
      </c>
      <c r="G284">
        <v>9.7810661161006394</v>
      </c>
      <c r="H284">
        <v>5</v>
      </c>
      <c r="I284">
        <v>60</v>
      </c>
      <c r="J284" s="1" t="s">
        <v>12</v>
      </c>
      <c r="K284" s="1" t="s">
        <v>17</v>
      </c>
      <c r="L284" t="str" cm="1">
        <f t="array" ref="L284">_xlfn.IFS(B284&gt;-80,"Excellent",B284&gt;-95,"Good",B284&gt;-110,"Fair",  TRUE,"Poor")</f>
        <v>Good</v>
      </c>
      <c r="M284" s="1" t="str">
        <f t="shared" si="4"/>
        <v>Normal</v>
      </c>
    </row>
    <row r="285" spans="1:13" x14ac:dyDescent="0.3">
      <c r="A285" s="3">
        <v>44847.490046296298</v>
      </c>
      <c r="B285">
        <v>-93.683486252942799</v>
      </c>
      <c r="C285">
        <v>14.6528394814256</v>
      </c>
      <c r="D285">
        <v>1160.80452668203</v>
      </c>
      <c r="E285" s="1" t="s">
        <v>14</v>
      </c>
      <c r="F285">
        <v>8.9476182102186499</v>
      </c>
      <c r="G285">
        <v>3.5029187943633802</v>
      </c>
      <c r="H285">
        <v>9</v>
      </c>
      <c r="I285">
        <v>9</v>
      </c>
      <c r="J285" s="1" t="s">
        <v>15</v>
      </c>
      <c r="K285" s="1" t="s">
        <v>17</v>
      </c>
      <c r="L285" t="str" cm="1">
        <f t="array" ref="L285">_xlfn.IFS(B285&gt;-80,"Excellent",B285&gt;-95,"Good",B285&gt;-110,"Fair",  TRUE,"Poor")</f>
        <v>Good</v>
      </c>
      <c r="M285" s="1" t="str">
        <f t="shared" si="4"/>
        <v>Normal</v>
      </c>
    </row>
    <row r="286" spans="1:13" x14ac:dyDescent="0.3">
      <c r="A286" s="3">
        <v>44848.636562500003</v>
      </c>
      <c r="B286">
        <v>-68.802288588098804</v>
      </c>
      <c r="C286">
        <v>15.013610300414101</v>
      </c>
      <c r="D286">
        <v>714.73238540871705</v>
      </c>
      <c r="E286" s="1" t="s">
        <v>16</v>
      </c>
      <c r="F286">
        <v>0.46449670677830901</v>
      </c>
      <c r="G286">
        <v>0.24995436476166999</v>
      </c>
      <c r="H286">
        <v>4</v>
      </c>
      <c r="I286">
        <v>68</v>
      </c>
      <c r="J286" s="1" t="s">
        <v>12</v>
      </c>
      <c r="K286" s="1" t="s">
        <v>13</v>
      </c>
      <c r="L286" t="str" cm="1">
        <f t="array" ref="L286">_xlfn.IFS(B286&gt;-80,"Excellent",B286&gt;-95,"Good",B286&gt;-110,"Fair",  TRUE,"Poor")</f>
        <v>Excellent</v>
      </c>
      <c r="M286" s="1" t="str">
        <f t="shared" si="4"/>
        <v>Normal</v>
      </c>
    </row>
    <row r="287" spans="1:13" x14ac:dyDescent="0.3">
      <c r="A287" s="3">
        <v>44849.49050925926</v>
      </c>
      <c r="B287">
        <v>-98.664938050635001</v>
      </c>
      <c r="C287">
        <v>13.736971431016</v>
      </c>
      <c r="D287">
        <v>1236.33048604646</v>
      </c>
      <c r="E287" s="1" t="s">
        <v>16</v>
      </c>
      <c r="F287">
        <v>3.4825365260724199</v>
      </c>
      <c r="G287">
        <v>5.50102809543053</v>
      </c>
      <c r="H287">
        <v>2</v>
      </c>
      <c r="I287">
        <v>31</v>
      </c>
      <c r="J287" s="1" t="s">
        <v>12</v>
      </c>
      <c r="K287" s="1" t="s">
        <v>13</v>
      </c>
      <c r="L287" t="str" cm="1">
        <f t="array" ref="L287">_xlfn.IFS(B287&gt;-80,"Excellent",B287&gt;-95,"Good",B287&gt;-110,"Fair",  TRUE,"Poor")</f>
        <v>Fair</v>
      </c>
      <c r="M287" s="1" t="str">
        <f t="shared" si="4"/>
        <v>Normal</v>
      </c>
    </row>
    <row r="288" spans="1:13" x14ac:dyDescent="0.3">
      <c r="A288" s="3">
        <v>44850.722037037034</v>
      </c>
      <c r="B288">
        <v>-97.151114431525102</v>
      </c>
      <c r="C288">
        <v>16.3173893273731</v>
      </c>
      <c r="D288">
        <v>329.48709696646</v>
      </c>
      <c r="E288" s="1" t="s">
        <v>18</v>
      </c>
      <c r="F288">
        <v>4.6103313354134299</v>
      </c>
      <c r="G288">
        <v>9.5201691770538908</v>
      </c>
      <c r="H288">
        <v>5</v>
      </c>
      <c r="I288">
        <v>34</v>
      </c>
      <c r="J288" s="1" t="s">
        <v>15</v>
      </c>
      <c r="K288" s="1" t="s">
        <v>13</v>
      </c>
      <c r="L288" t="str" cm="1">
        <f t="array" ref="L288">_xlfn.IFS(B288&gt;-80,"Excellent",B288&gt;-95,"Good",B288&gt;-110,"Fair",  TRUE,"Poor")</f>
        <v>Fair</v>
      </c>
      <c r="M288" s="1" t="str">
        <f t="shared" si="4"/>
        <v>Normal</v>
      </c>
    </row>
    <row r="289" spans="1:13" x14ac:dyDescent="0.3">
      <c r="A289" s="3">
        <v>44851.875937500001</v>
      </c>
      <c r="B289">
        <v>-64.428179370566596</v>
      </c>
      <c r="C289">
        <v>10.2714107156733</v>
      </c>
      <c r="D289">
        <v>1517.6497924854</v>
      </c>
      <c r="E289" s="1" t="s">
        <v>14</v>
      </c>
      <c r="F289">
        <v>9.2845632555317597</v>
      </c>
      <c r="G289">
        <v>1.49630836756524</v>
      </c>
      <c r="H289">
        <v>1</v>
      </c>
      <c r="I289">
        <v>24</v>
      </c>
      <c r="J289" s="1" t="s">
        <v>15</v>
      </c>
      <c r="K289" s="1" t="s">
        <v>17</v>
      </c>
      <c r="L289" t="str" cm="1">
        <f t="array" ref="L289">_xlfn.IFS(B289&gt;-80,"Excellent",B289&gt;-95,"Good",B289&gt;-110,"Fair",  TRUE,"Poor")</f>
        <v>Excellent</v>
      </c>
      <c r="M289" s="1" t="str">
        <f t="shared" si="4"/>
        <v>Normal</v>
      </c>
    </row>
    <row r="290" spans="1:13" x14ac:dyDescent="0.3">
      <c r="A290" s="3">
        <v>44852.731307870374</v>
      </c>
      <c r="B290">
        <v>-92.770475656832303</v>
      </c>
      <c r="C290">
        <v>18.472879566838198</v>
      </c>
      <c r="D290">
        <v>1584.60040807668</v>
      </c>
      <c r="E290" s="1" t="s">
        <v>16</v>
      </c>
      <c r="F290">
        <v>4.6620590683064602</v>
      </c>
      <c r="G290">
        <v>4.3723934952322399</v>
      </c>
      <c r="H290">
        <v>7</v>
      </c>
      <c r="I290">
        <v>47</v>
      </c>
      <c r="J290" s="1" t="s">
        <v>15</v>
      </c>
      <c r="K290" s="1" t="s">
        <v>17</v>
      </c>
      <c r="L290" t="str" cm="1">
        <f t="array" ref="L290">_xlfn.IFS(B290&gt;-80,"Excellent",B290&gt;-95,"Good",B290&gt;-110,"Fair",  TRUE,"Poor")</f>
        <v>Good</v>
      </c>
      <c r="M290" s="1" t="str">
        <f t="shared" si="4"/>
        <v>Normal</v>
      </c>
    </row>
    <row r="291" spans="1:13" x14ac:dyDescent="0.3">
      <c r="A291" s="3">
        <v>44853.670694444445</v>
      </c>
      <c r="B291">
        <v>-95.062842202547998</v>
      </c>
      <c r="C291">
        <v>12.987813010328599</v>
      </c>
      <c r="D291">
        <v>176.76233345250901</v>
      </c>
      <c r="E291" s="1" t="s">
        <v>18</v>
      </c>
      <c r="F291">
        <v>4.6282057461800399</v>
      </c>
      <c r="G291">
        <v>7.9231480173922701</v>
      </c>
      <c r="H291">
        <v>1</v>
      </c>
      <c r="I291">
        <v>35</v>
      </c>
      <c r="J291" s="1" t="s">
        <v>12</v>
      </c>
      <c r="K291" s="1" t="s">
        <v>17</v>
      </c>
      <c r="L291" t="str" cm="1">
        <f t="array" ref="L291">_xlfn.IFS(B291&gt;-80,"Excellent",B291&gt;-95,"Good",B291&gt;-110,"Fair",  TRUE,"Poor")</f>
        <v>Fair</v>
      </c>
      <c r="M291" s="1" t="str">
        <f t="shared" si="4"/>
        <v>Normal</v>
      </c>
    </row>
    <row r="292" spans="1:13" x14ac:dyDescent="0.3">
      <c r="A292" s="3">
        <v>44854.47519675926</v>
      </c>
      <c r="B292">
        <v>-76.573617976260905</v>
      </c>
      <c r="C292">
        <v>24.3802939204759</v>
      </c>
      <c r="D292">
        <v>517.33040291021496</v>
      </c>
      <c r="E292" s="1" t="s">
        <v>11</v>
      </c>
      <c r="F292">
        <v>14.1742477793929</v>
      </c>
      <c r="G292">
        <v>6.9795172964991101</v>
      </c>
      <c r="H292">
        <v>4</v>
      </c>
      <c r="I292">
        <v>26</v>
      </c>
      <c r="J292" s="1" t="s">
        <v>12</v>
      </c>
      <c r="K292" s="1" t="s">
        <v>13</v>
      </c>
      <c r="L292" t="str" cm="1">
        <f t="array" ref="L292">_xlfn.IFS(B292&gt;-80,"Excellent",B292&gt;-95,"Good",B292&gt;-110,"Fair",  TRUE,"Poor")</f>
        <v>Excellent</v>
      </c>
      <c r="M292" s="1" t="str">
        <f t="shared" si="4"/>
        <v>High Loss</v>
      </c>
    </row>
    <row r="293" spans="1:13" x14ac:dyDescent="0.3">
      <c r="A293" s="3">
        <v>44855.922719907408</v>
      </c>
      <c r="B293">
        <v>-99.745540773296</v>
      </c>
      <c r="C293">
        <v>21.5922748743432</v>
      </c>
      <c r="D293">
        <v>1760.0966605249901</v>
      </c>
      <c r="E293" s="1" t="s">
        <v>16</v>
      </c>
      <c r="F293">
        <v>4.3602920454900396</v>
      </c>
      <c r="G293">
        <v>5.8586187247305901</v>
      </c>
      <c r="H293">
        <v>7</v>
      </c>
      <c r="I293">
        <v>49</v>
      </c>
      <c r="J293" s="1" t="s">
        <v>15</v>
      </c>
      <c r="K293" s="1" t="s">
        <v>13</v>
      </c>
      <c r="L293" t="str" cm="1">
        <f t="array" ref="L293">_xlfn.IFS(B293&gt;-80,"Excellent",B293&gt;-95,"Good",B293&gt;-110,"Fair",  TRUE,"Poor")</f>
        <v>Fair</v>
      </c>
      <c r="M293" s="1" t="str">
        <f t="shared" si="4"/>
        <v>Normal</v>
      </c>
    </row>
    <row r="294" spans="1:13" x14ac:dyDescent="0.3">
      <c r="A294" s="3">
        <v>44856.900821759256</v>
      </c>
      <c r="B294">
        <v>-109.93072663128</v>
      </c>
      <c r="C294">
        <v>11.9207874448269</v>
      </c>
      <c r="D294">
        <v>430.98043101609102</v>
      </c>
      <c r="E294" s="1" t="s">
        <v>16</v>
      </c>
      <c r="F294">
        <v>4.0893730655504497</v>
      </c>
      <c r="G294">
        <v>0.33660745357572303</v>
      </c>
      <c r="H294">
        <v>2</v>
      </c>
      <c r="I294">
        <v>94</v>
      </c>
      <c r="J294" s="1" t="s">
        <v>12</v>
      </c>
      <c r="K294" s="1" t="s">
        <v>17</v>
      </c>
      <c r="L294" t="str" cm="1">
        <f t="array" ref="L294">_xlfn.IFS(B294&gt;-80,"Excellent",B294&gt;-95,"Good",B294&gt;-110,"Fair",  TRUE,"Poor")</f>
        <v>Fair</v>
      </c>
      <c r="M294" s="1" t="str">
        <f t="shared" si="4"/>
        <v>Normal</v>
      </c>
    </row>
    <row r="295" spans="1:13" x14ac:dyDescent="0.3">
      <c r="A295" s="3">
        <v>44857.386331018519</v>
      </c>
      <c r="B295">
        <v>-96.4793434901556</v>
      </c>
      <c r="C295">
        <v>19.818668834733401</v>
      </c>
      <c r="D295">
        <v>71.182386435678495</v>
      </c>
      <c r="E295" s="1" t="s">
        <v>11</v>
      </c>
      <c r="F295">
        <v>11.3172313912328</v>
      </c>
      <c r="G295">
        <v>6.7837158129612396</v>
      </c>
      <c r="H295">
        <v>3</v>
      </c>
      <c r="I295">
        <v>36</v>
      </c>
      <c r="J295" s="1" t="s">
        <v>12</v>
      </c>
      <c r="K295" s="1" t="s">
        <v>13</v>
      </c>
      <c r="L295" t="str" cm="1">
        <f t="array" ref="L295">_xlfn.IFS(B295&gt;-80,"Excellent",B295&gt;-95,"Good",B295&gt;-110,"Fair",  TRUE,"Poor")</f>
        <v>Fair</v>
      </c>
      <c r="M295" s="1" t="str">
        <f t="shared" si="4"/>
        <v>High Loss</v>
      </c>
    </row>
    <row r="296" spans="1:13" x14ac:dyDescent="0.3">
      <c r="A296" s="3">
        <v>44858.7658912037</v>
      </c>
      <c r="B296">
        <v>-71.878742547294493</v>
      </c>
      <c r="C296">
        <v>10.5230364281636</v>
      </c>
      <c r="D296">
        <v>325.85706055059899</v>
      </c>
      <c r="E296" s="1" t="s">
        <v>14</v>
      </c>
      <c r="F296">
        <v>4.4378152563046402</v>
      </c>
      <c r="G296">
        <v>2.6045987114020601</v>
      </c>
      <c r="H296">
        <v>6</v>
      </c>
      <c r="I296">
        <v>67</v>
      </c>
      <c r="J296" s="1" t="s">
        <v>12</v>
      </c>
      <c r="K296" s="1" t="s">
        <v>13</v>
      </c>
      <c r="L296" t="str" cm="1">
        <f t="array" ref="L296">_xlfn.IFS(B296&gt;-80,"Excellent",B296&gt;-95,"Good",B296&gt;-110,"Fair",  TRUE,"Poor")</f>
        <v>Excellent</v>
      </c>
      <c r="M296" s="1" t="str">
        <f t="shared" si="4"/>
        <v>Normal</v>
      </c>
    </row>
    <row r="297" spans="1:13" x14ac:dyDescent="0.3">
      <c r="A297" s="3">
        <v>44859.88784722222</v>
      </c>
      <c r="B297">
        <v>-117.519759381254</v>
      </c>
      <c r="C297">
        <v>18.526492128258699</v>
      </c>
      <c r="D297">
        <v>1113.17454000971</v>
      </c>
      <c r="E297" s="1" t="s">
        <v>16</v>
      </c>
      <c r="F297">
        <v>3.9682590255151</v>
      </c>
      <c r="G297">
        <v>9.0008376808995898</v>
      </c>
      <c r="H297">
        <v>5</v>
      </c>
      <c r="I297">
        <v>67</v>
      </c>
      <c r="J297" s="1" t="s">
        <v>15</v>
      </c>
      <c r="K297" s="1" t="s">
        <v>13</v>
      </c>
      <c r="L297" t="str" cm="1">
        <f t="array" ref="L297">_xlfn.IFS(B297&gt;-80,"Excellent",B297&gt;-95,"Good",B297&gt;-110,"Fair",  TRUE,"Poor")</f>
        <v>Poor</v>
      </c>
      <c r="M297" s="1" t="str">
        <f t="shared" si="4"/>
        <v>Normal</v>
      </c>
    </row>
    <row r="298" spans="1:13" x14ac:dyDescent="0.3">
      <c r="A298" s="3">
        <v>44860.977280092593</v>
      </c>
      <c r="B298">
        <v>-79.068775655865295</v>
      </c>
      <c r="C298">
        <v>13.5985628459716</v>
      </c>
      <c r="D298">
        <v>738.99022254129795</v>
      </c>
      <c r="E298" s="1" t="s">
        <v>18</v>
      </c>
      <c r="F298">
        <v>4.3574948692974598</v>
      </c>
      <c r="G298">
        <v>5.8324947256687496</v>
      </c>
      <c r="H298">
        <v>4</v>
      </c>
      <c r="I298">
        <v>100</v>
      </c>
      <c r="J298" s="1" t="s">
        <v>12</v>
      </c>
      <c r="K298" s="1" t="s">
        <v>17</v>
      </c>
      <c r="L298" t="str" cm="1">
        <f t="array" ref="L298">_xlfn.IFS(B298&gt;-80,"Excellent",B298&gt;-95,"Good",B298&gt;-110,"Fair",  TRUE,"Poor")</f>
        <v>Excellent</v>
      </c>
      <c r="M298" s="1" t="str">
        <f t="shared" si="4"/>
        <v>Normal</v>
      </c>
    </row>
    <row r="299" spans="1:13" x14ac:dyDescent="0.3">
      <c r="A299" s="3">
        <v>44861.775648148148</v>
      </c>
      <c r="B299">
        <v>-95.728660743424697</v>
      </c>
      <c r="C299">
        <v>20.211841214349501</v>
      </c>
      <c r="D299">
        <v>345.220174519404</v>
      </c>
      <c r="E299" s="1" t="s">
        <v>16</v>
      </c>
      <c r="F299">
        <v>4.5202537961175304</v>
      </c>
      <c r="G299">
        <v>4.8875552512150602</v>
      </c>
      <c r="H299">
        <v>4</v>
      </c>
      <c r="I299">
        <v>58</v>
      </c>
      <c r="J299" s="1" t="s">
        <v>15</v>
      </c>
      <c r="K299" s="1" t="s">
        <v>13</v>
      </c>
      <c r="L299" t="str" cm="1">
        <f t="array" ref="L299">_xlfn.IFS(B299&gt;-80,"Excellent",B299&gt;-95,"Good",B299&gt;-110,"Fair",  TRUE,"Poor")</f>
        <v>Fair</v>
      </c>
      <c r="M299" s="1" t="str">
        <f t="shared" si="4"/>
        <v>Normal</v>
      </c>
    </row>
    <row r="300" spans="1:13" x14ac:dyDescent="0.3">
      <c r="A300" s="3">
        <v>44862.958854166667</v>
      </c>
      <c r="B300">
        <v>-68.159938733374602</v>
      </c>
      <c r="C300">
        <v>19.5875415370882</v>
      </c>
      <c r="D300">
        <v>1261.2721428100001</v>
      </c>
      <c r="E300" s="1" t="s">
        <v>18</v>
      </c>
      <c r="F300">
        <v>3.3093944170257799</v>
      </c>
      <c r="G300">
        <v>7.5123396906407596</v>
      </c>
      <c r="H300">
        <v>5</v>
      </c>
      <c r="I300">
        <v>44</v>
      </c>
      <c r="J300" s="1" t="s">
        <v>15</v>
      </c>
      <c r="K300" s="1" t="s">
        <v>17</v>
      </c>
      <c r="L300" t="str" cm="1">
        <f t="array" ref="L300">_xlfn.IFS(B300&gt;-80,"Excellent",B300&gt;-95,"Good",B300&gt;-110,"Fair",  TRUE,"Poor")</f>
        <v>Excellent</v>
      </c>
      <c r="M300" s="1" t="str">
        <f t="shared" si="4"/>
        <v>Normal</v>
      </c>
    </row>
    <row r="301" spans="1:13" x14ac:dyDescent="0.3">
      <c r="A301" s="3">
        <v>44863.857106481482</v>
      </c>
      <c r="B301">
        <v>-64.482886059808905</v>
      </c>
      <c r="C301">
        <v>28.803187647661801</v>
      </c>
      <c r="D301">
        <v>1006.82207582568</v>
      </c>
      <c r="E301" s="1" t="s">
        <v>14</v>
      </c>
      <c r="F301">
        <v>6.4805535166606196</v>
      </c>
      <c r="G301">
        <v>4.7203868769719701</v>
      </c>
      <c r="H301">
        <v>10</v>
      </c>
      <c r="I301">
        <v>94</v>
      </c>
      <c r="J301" s="1" t="s">
        <v>12</v>
      </c>
      <c r="K301" s="1" t="s">
        <v>17</v>
      </c>
      <c r="L301" t="str" cm="1">
        <f t="array" ref="L301">_xlfn.IFS(B301&gt;-80,"Excellent",B301&gt;-95,"Good",B301&gt;-110,"Fair",  TRUE,"Poor")</f>
        <v>Excellent</v>
      </c>
      <c r="M301" s="1" t="str">
        <f t="shared" si="4"/>
        <v>Normal</v>
      </c>
    </row>
    <row r="302" spans="1:13" x14ac:dyDescent="0.3">
      <c r="A302" s="3">
        <v>44864.685671296298</v>
      </c>
      <c r="B302">
        <v>-74.090803698337197</v>
      </c>
      <c r="C302">
        <v>14.542556845085301</v>
      </c>
      <c r="D302">
        <v>454.52641029559902</v>
      </c>
      <c r="E302" s="1" t="s">
        <v>16</v>
      </c>
      <c r="F302">
        <v>1.8943777474135499</v>
      </c>
      <c r="G302">
        <v>5.8589878181071198</v>
      </c>
      <c r="H302">
        <v>8</v>
      </c>
      <c r="I302">
        <v>4</v>
      </c>
      <c r="J302" s="1" t="s">
        <v>15</v>
      </c>
      <c r="K302" s="1" t="s">
        <v>13</v>
      </c>
      <c r="L302" t="str" cm="1">
        <f t="array" ref="L302">_xlfn.IFS(B302&gt;-80,"Excellent",B302&gt;-95,"Good",B302&gt;-110,"Fair",  TRUE,"Poor")</f>
        <v>Excellent</v>
      </c>
      <c r="M302" s="1" t="str">
        <f t="shared" si="4"/>
        <v>Normal</v>
      </c>
    </row>
    <row r="303" spans="1:13" x14ac:dyDescent="0.3">
      <c r="A303" s="3">
        <v>44865.977650462963</v>
      </c>
      <c r="B303">
        <v>-106.888895861527</v>
      </c>
      <c r="C303">
        <v>21.669344937999899</v>
      </c>
      <c r="D303">
        <v>261.34675065268198</v>
      </c>
      <c r="E303" s="1" t="s">
        <v>16</v>
      </c>
      <c r="F303">
        <v>0.19256604067935601</v>
      </c>
      <c r="G303">
        <v>0.97960428641075503</v>
      </c>
      <c r="H303">
        <v>2</v>
      </c>
      <c r="I303">
        <v>60</v>
      </c>
      <c r="J303" s="1" t="s">
        <v>15</v>
      </c>
      <c r="K303" s="1" t="s">
        <v>17</v>
      </c>
      <c r="L303" t="str" cm="1">
        <f t="array" ref="L303">_xlfn.IFS(B303&gt;-80,"Excellent",B303&gt;-95,"Good",B303&gt;-110,"Fair",  TRUE,"Poor")</f>
        <v>Fair</v>
      </c>
      <c r="M303" s="1" t="str">
        <f t="shared" si="4"/>
        <v>Normal</v>
      </c>
    </row>
    <row r="304" spans="1:13" x14ac:dyDescent="0.3">
      <c r="A304" s="3">
        <v>44866.620833333334</v>
      </c>
      <c r="B304">
        <v>-79.418271180480801</v>
      </c>
      <c r="C304">
        <v>18.9030530946252</v>
      </c>
      <c r="D304">
        <v>994.73836369540402</v>
      </c>
      <c r="E304" s="1" t="s">
        <v>16</v>
      </c>
      <c r="F304">
        <v>3.6386752405970602</v>
      </c>
      <c r="G304">
        <v>7.4948690433347203</v>
      </c>
      <c r="H304">
        <v>7</v>
      </c>
      <c r="I304">
        <v>63</v>
      </c>
      <c r="J304" s="1" t="s">
        <v>15</v>
      </c>
      <c r="K304" s="1" t="s">
        <v>17</v>
      </c>
      <c r="L304" t="str" cm="1">
        <f t="array" ref="L304">_xlfn.IFS(B304&gt;-80,"Excellent",B304&gt;-95,"Good",B304&gt;-110,"Fair",  TRUE,"Poor")</f>
        <v>Excellent</v>
      </c>
      <c r="M304" s="1" t="str">
        <f t="shared" si="4"/>
        <v>Normal</v>
      </c>
    </row>
    <row r="305" spans="1:13" x14ac:dyDescent="0.3">
      <c r="A305" s="3">
        <v>44867.786041666666</v>
      </c>
      <c r="B305">
        <v>-95.943666935648807</v>
      </c>
      <c r="C305">
        <v>26.437340736067501</v>
      </c>
      <c r="D305">
        <v>746.73210513708295</v>
      </c>
      <c r="E305" s="1" t="s">
        <v>14</v>
      </c>
      <c r="F305">
        <v>5.2781893261314003</v>
      </c>
      <c r="G305">
        <v>1.2102096368308</v>
      </c>
      <c r="H305">
        <v>10</v>
      </c>
      <c r="I305">
        <v>68</v>
      </c>
      <c r="J305" s="1" t="s">
        <v>15</v>
      </c>
      <c r="K305" s="1" t="s">
        <v>13</v>
      </c>
      <c r="L305" t="str" cm="1">
        <f t="array" ref="L305">_xlfn.IFS(B305&gt;-80,"Excellent",B305&gt;-95,"Good",B305&gt;-110,"Fair",  TRUE,"Poor")</f>
        <v>Fair</v>
      </c>
      <c r="M305" s="1" t="str">
        <f t="shared" si="4"/>
        <v>Normal</v>
      </c>
    </row>
    <row r="306" spans="1:13" x14ac:dyDescent="0.3">
      <c r="A306" s="3">
        <v>44868.875671296293</v>
      </c>
      <c r="B306">
        <v>-89.679712991501404</v>
      </c>
      <c r="C306">
        <v>10.367119952406</v>
      </c>
      <c r="D306">
        <v>1379.4501943620601</v>
      </c>
      <c r="E306" s="1" t="s">
        <v>18</v>
      </c>
      <c r="F306">
        <v>7.9912744385842203</v>
      </c>
      <c r="G306">
        <v>9.46476125362015</v>
      </c>
      <c r="H306">
        <v>8</v>
      </c>
      <c r="I306">
        <v>38</v>
      </c>
      <c r="J306" s="1" t="s">
        <v>15</v>
      </c>
      <c r="K306" s="1" t="s">
        <v>13</v>
      </c>
      <c r="L306" t="str" cm="1">
        <f t="array" ref="L306">_xlfn.IFS(B306&gt;-80,"Excellent",B306&gt;-95,"Good",B306&gt;-110,"Fair",  TRUE,"Poor")</f>
        <v>Good</v>
      </c>
      <c r="M306" s="1" t="str">
        <f t="shared" si="4"/>
        <v>Normal</v>
      </c>
    </row>
    <row r="307" spans="1:13" x14ac:dyDescent="0.3">
      <c r="A307" s="3">
        <v>44869.741666666669</v>
      </c>
      <c r="B307">
        <v>-74.780706565653205</v>
      </c>
      <c r="C307">
        <v>21.299857700790099</v>
      </c>
      <c r="D307">
        <v>1766.8433746041201</v>
      </c>
      <c r="E307" s="1" t="s">
        <v>18</v>
      </c>
      <c r="F307">
        <v>2.0986452019451298</v>
      </c>
      <c r="G307">
        <v>4.5895096895166398</v>
      </c>
      <c r="H307">
        <v>6</v>
      </c>
      <c r="I307">
        <v>32</v>
      </c>
      <c r="J307" s="1" t="s">
        <v>12</v>
      </c>
      <c r="K307" s="1" t="s">
        <v>17</v>
      </c>
      <c r="L307" t="str" cm="1">
        <f t="array" ref="L307">_xlfn.IFS(B307&gt;-80,"Excellent",B307&gt;-95,"Good",B307&gt;-110,"Fair",  TRUE,"Poor")</f>
        <v>Excellent</v>
      </c>
      <c r="M307" s="1" t="str">
        <f t="shared" si="4"/>
        <v>Normal</v>
      </c>
    </row>
    <row r="308" spans="1:13" x14ac:dyDescent="0.3">
      <c r="A308" s="3">
        <v>44870.849918981483</v>
      </c>
      <c r="B308">
        <v>-102.32338075750199</v>
      </c>
      <c r="C308">
        <v>20.100613850982601</v>
      </c>
      <c r="D308">
        <v>996.73334488053104</v>
      </c>
      <c r="E308" s="1" t="s">
        <v>18</v>
      </c>
      <c r="F308">
        <v>2.9767337172309798</v>
      </c>
      <c r="G308">
        <v>5.6301697300722502</v>
      </c>
      <c r="H308">
        <v>10</v>
      </c>
      <c r="I308">
        <v>47</v>
      </c>
      <c r="J308" s="1" t="s">
        <v>15</v>
      </c>
      <c r="K308" s="1" t="s">
        <v>17</v>
      </c>
      <c r="L308" t="str" cm="1">
        <f t="array" ref="L308">_xlfn.IFS(B308&gt;-80,"Excellent",B308&gt;-95,"Good",B308&gt;-110,"Fair",  TRUE,"Poor")</f>
        <v>Fair</v>
      </c>
      <c r="M308" s="1" t="str">
        <f t="shared" si="4"/>
        <v>Normal</v>
      </c>
    </row>
    <row r="309" spans="1:13" x14ac:dyDescent="0.3">
      <c r="A309" s="3">
        <v>44871.465578703705</v>
      </c>
      <c r="B309">
        <v>-104.07020271169699</v>
      </c>
      <c r="C309">
        <v>28.6864257433195</v>
      </c>
      <c r="D309">
        <v>189.66683006532901</v>
      </c>
      <c r="E309" s="1" t="s">
        <v>16</v>
      </c>
      <c r="F309">
        <v>3.8358394053762499</v>
      </c>
      <c r="G309">
        <v>5.1832886687388102</v>
      </c>
      <c r="H309">
        <v>4</v>
      </c>
      <c r="I309">
        <v>61</v>
      </c>
      <c r="J309" s="1" t="s">
        <v>15</v>
      </c>
      <c r="K309" s="1" t="s">
        <v>13</v>
      </c>
      <c r="L309" t="str" cm="1">
        <f t="array" ref="L309">_xlfn.IFS(B309&gt;-80,"Excellent",B309&gt;-95,"Good",B309&gt;-110,"Fair",  TRUE,"Poor")</f>
        <v>Fair</v>
      </c>
      <c r="M309" s="1" t="str">
        <f t="shared" si="4"/>
        <v>Normal</v>
      </c>
    </row>
    <row r="310" spans="1:13" x14ac:dyDescent="0.3">
      <c r="A310" s="3">
        <v>44872.614733796298</v>
      </c>
      <c r="B310">
        <v>-101.37961078123701</v>
      </c>
      <c r="C310">
        <v>15.0119630816734</v>
      </c>
      <c r="D310">
        <v>485.949358444062</v>
      </c>
      <c r="E310" s="1" t="s">
        <v>11</v>
      </c>
      <c r="F310">
        <v>8.3130693181113298</v>
      </c>
      <c r="G310">
        <v>4.9091142229681797</v>
      </c>
      <c r="H310">
        <v>4</v>
      </c>
      <c r="I310">
        <v>94</v>
      </c>
      <c r="J310" s="1" t="s">
        <v>15</v>
      </c>
      <c r="K310" s="1" t="s">
        <v>17</v>
      </c>
      <c r="L310" t="str" cm="1">
        <f t="array" ref="L310">_xlfn.IFS(B310&gt;-80,"Excellent",B310&gt;-95,"Good",B310&gt;-110,"Fair",  TRUE,"Poor")</f>
        <v>Fair</v>
      </c>
      <c r="M310" s="1" t="str">
        <f t="shared" si="4"/>
        <v>Normal</v>
      </c>
    </row>
    <row r="311" spans="1:13" x14ac:dyDescent="0.3">
      <c r="A311" s="3">
        <v>44873.794085648151</v>
      </c>
      <c r="B311">
        <v>-93.453580118719202</v>
      </c>
      <c r="C311">
        <v>29.4483503874545</v>
      </c>
      <c r="D311">
        <v>898.04115195742497</v>
      </c>
      <c r="E311" s="1" t="s">
        <v>18</v>
      </c>
      <c r="F311">
        <v>2.8079172583316101</v>
      </c>
      <c r="G311">
        <v>7.4430213433289198</v>
      </c>
      <c r="H311">
        <v>7</v>
      </c>
      <c r="I311">
        <v>73</v>
      </c>
      <c r="J311" s="1" t="s">
        <v>15</v>
      </c>
      <c r="K311" s="1" t="s">
        <v>17</v>
      </c>
      <c r="L311" t="str" cm="1">
        <f t="array" ref="L311">_xlfn.IFS(B311&gt;-80,"Excellent",B311&gt;-95,"Good",B311&gt;-110,"Fair",  TRUE,"Poor")</f>
        <v>Good</v>
      </c>
      <c r="M311" s="1" t="str">
        <f t="shared" si="4"/>
        <v>Normal</v>
      </c>
    </row>
    <row r="312" spans="1:13" x14ac:dyDescent="0.3">
      <c r="A312" s="3">
        <v>44874.663865740738</v>
      </c>
      <c r="B312">
        <v>-91.892598467273601</v>
      </c>
      <c r="C312">
        <v>23.9433732942551</v>
      </c>
      <c r="D312">
        <v>48.1776182096173</v>
      </c>
      <c r="E312" s="1" t="s">
        <v>11</v>
      </c>
      <c r="F312">
        <v>13.909458477194899</v>
      </c>
      <c r="G312">
        <v>4.7126784843343499</v>
      </c>
      <c r="H312">
        <v>5</v>
      </c>
      <c r="I312">
        <v>85</v>
      </c>
      <c r="J312" s="1" t="s">
        <v>12</v>
      </c>
      <c r="K312" s="1" t="s">
        <v>17</v>
      </c>
      <c r="L312" t="str" cm="1">
        <f t="array" ref="L312">_xlfn.IFS(B312&gt;-80,"Excellent",B312&gt;-95,"Good",B312&gt;-110,"Fair",  TRUE,"Poor")</f>
        <v>Good</v>
      </c>
      <c r="M312" s="1" t="str">
        <f t="shared" si="4"/>
        <v>High Loss</v>
      </c>
    </row>
    <row r="313" spans="1:13" x14ac:dyDescent="0.3">
      <c r="A313" s="3">
        <v>44875.532858796294</v>
      </c>
      <c r="B313">
        <v>-98.468170756559601</v>
      </c>
      <c r="C313">
        <v>25.390233774732199</v>
      </c>
      <c r="D313">
        <v>1696.2061975946001</v>
      </c>
      <c r="E313" s="1" t="s">
        <v>14</v>
      </c>
      <c r="F313">
        <v>7.6481263609146897</v>
      </c>
      <c r="G313">
        <v>9.9818055826145997</v>
      </c>
      <c r="H313">
        <v>5</v>
      </c>
      <c r="I313">
        <v>92</v>
      </c>
      <c r="J313" s="1" t="s">
        <v>15</v>
      </c>
      <c r="K313" s="1" t="s">
        <v>13</v>
      </c>
      <c r="L313" t="str" cm="1">
        <f t="array" ref="L313">_xlfn.IFS(B313&gt;-80,"Excellent",B313&gt;-95,"Good",B313&gt;-110,"Fair",  TRUE,"Poor")</f>
        <v>Fair</v>
      </c>
      <c r="M313" s="1" t="str">
        <f t="shared" si="4"/>
        <v>Normal</v>
      </c>
    </row>
    <row r="314" spans="1:13" x14ac:dyDescent="0.3">
      <c r="A314" s="3">
        <v>44876.432534722226</v>
      </c>
      <c r="B314">
        <v>-62.910899344152298</v>
      </c>
      <c r="C314">
        <v>25.436868641654499</v>
      </c>
      <c r="D314">
        <v>1347.8182191917599</v>
      </c>
      <c r="E314" s="1" t="s">
        <v>14</v>
      </c>
      <c r="F314">
        <v>7.6902552541802596</v>
      </c>
      <c r="G314">
        <v>2.90661118749509</v>
      </c>
      <c r="H314">
        <v>5</v>
      </c>
      <c r="I314">
        <v>81</v>
      </c>
      <c r="J314" s="1" t="s">
        <v>12</v>
      </c>
      <c r="K314" s="1" t="s">
        <v>17</v>
      </c>
      <c r="L314" t="str" cm="1">
        <f t="array" ref="L314">_xlfn.IFS(B314&gt;-80,"Excellent",B314&gt;-95,"Good",B314&gt;-110,"Fair",  TRUE,"Poor")</f>
        <v>Excellent</v>
      </c>
      <c r="M314" s="1" t="str">
        <f t="shared" si="4"/>
        <v>Normal</v>
      </c>
    </row>
    <row r="315" spans="1:13" x14ac:dyDescent="0.3">
      <c r="A315" s="3">
        <v>44877.956493055557</v>
      </c>
      <c r="B315">
        <v>-79.585389010568207</v>
      </c>
      <c r="C315">
        <v>23.142308803511298</v>
      </c>
      <c r="D315">
        <v>844.91784055279402</v>
      </c>
      <c r="E315" s="1" t="s">
        <v>14</v>
      </c>
      <c r="F315">
        <v>8.8014081110412707</v>
      </c>
      <c r="G315">
        <v>1.93940670820738</v>
      </c>
      <c r="H315">
        <v>9</v>
      </c>
      <c r="I315">
        <v>91</v>
      </c>
      <c r="J315" s="1" t="s">
        <v>12</v>
      </c>
      <c r="K315" s="1" t="s">
        <v>13</v>
      </c>
      <c r="L315" t="str" cm="1">
        <f t="array" ref="L315">_xlfn.IFS(B315&gt;-80,"Excellent",B315&gt;-95,"Good",B315&gt;-110,"Fair",  TRUE,"Poor")</f>
        <v>Excellent</v>
      </c>
      <c r="M315" s="1" t="str">
        <f t="shared" si="4"/>
        <v>Normal</v>
      </c>
    </row>
    <row r="316" spans="1:13" x14ac:dyDescent="0.3">
      <c r="A316" s="3">
        <v>44878.462800925925</v>
      </c>
      <c r="B316">
        <v>-67.636243917210095</v>
      </c>
      <c r="C316">
        <v>27.889548896485401</v>
      </c>
      <c r="D316">
        <v>1012.00262088819</v>
      </c>
      <c r="E316" s="1" t="s">
        <v>16</v>
      </c>
      <c r="F316">
        <v>3.9709200681979602</v>
      </c>
      <c r="G316">
        <v>2.2440390915920498</v>
      </c>
      <c r="H316">
        <v>2</v>
      </c>
      <c r="I316">
        <v>27</v>
      </c>
      <c r="J316" s="1" t="s">
        <v>12</v>
      </c>
      <c r="K316" s="1" t="s">
        <v>17</v>
      </c>
      <c r="L316" t="str" cm="1">
        <f t="array" ref="L316">_xlfn.IFS(B316&gt;-80,"Excellent",B316&gt;-95,"Good",B316&gt;-110,"Fair",  TRUE,"Poor")</f>
        <v>Excellent</v>
      </c>
      <c r="M316" s="1" t="str">
        <f t="shared" si="4"/>
        <v>Normal</v>
      </c>
    </row>
    <row r="317" spans="1:13" x14ac:dyDescent="0.3">
      <c r="A317" s="3">
        <v>44879.626574074071</v>
      </c>
      <c r="B317">
        <v>-67.727274213854002</v>
      </c>
      <c r="C317">
        <v>15.538251852225899</v>
      </c>
      <c r="D317">
        <v>704.25186495793901</v>
      </c>
      <c r="E317" s="1" t="s">
        <v>14</v>
      </c>
      <c r="F317">
        <v>1.70887136049452</v>
      </c>
      <c r="G317">
        <v>0.34080624540886101</v>
      </c>
      <c r="H317">
        <v>1</v>
      </c>
      <c r="I317">
        <v>72</v>
      </c>
      <c r="J317" s="1" t="s">
        <v>15</v>
      </c>
      <c r="K317" s="1" t="s">
        <v>13</v>
      </c>
      <c r="L317" t="str" cm="1">
        <f t="array" ref="L317">_xlfn.IFS(B317&gt;-80,"Excellent",B317&gt;-95,"Good",B317&gt;-110,"Fair",  TRUE,"Poor")</f>
        <v>Excellent</v>
      </c>
      <c r="M317" s="1" t="str">
        <f t="shared" si="4"/>
        <v>Normal</v>
      </c>
    </row>
    <row r="318" spans="1:13" x14ac:dyDescent="0.3">
      <c r="A318" s="3">
        <v>44880.731620370374</v>
      </c>
      <c r="B318">
        <v>-93.276783096939397</v>
      </c>
      <c r="C318">
        <v>24.857779948407199</v>
      </c>
      <c r="D318">
        <v>1698.23724766192</v>
      </c>
      <c r="E318" s="1" t="s">
        <v>18</v>
      </c>
      <c r="F318">
        <v>4.2161771786456601</v>
      </c>
      <c r="G318">
        <v>9.28371245721722</v>
      </c>
      <c r="H318">
        <v>3</v>
      </c>
      <c r="I318">
        <v>100</v>
      </c>
      <c r="J318" s="1" t="s">
        <v>15</v>
      </c>
      <c r="K318" s="1" t="s">
        <v>13</v>
      </c>
      <c r="L318" t="str" cm="1">
        <f t="array" ref="L318">_xlfn.IFS(B318&gt;-80,"Excellent",B318&gt;-95,"Good",B318&gt;-110,"Fair",  TRUE,"Poor")</f>
        <v>Good</v>
      </c>
      <c r="M318" s="1" t="str">
        <f t="shared" si="4"/>
        <v>Normal</v>
      </c>
    </row>
    <row r="319" spans="1:13" x14ac:dyDescent="0.3">
      <c r="A319" s="3">
        <v>44881.893425925926</v>
      </c>
      <c r="B319">
        <v>-95.993616171492604</v>
      </c>
      <c r="C319">
        <v>23.974021050699498</v>
      </c>
      <c r="D319">
        <v>1026.3641612782901</v>
      </c>
      <c r="E319" s="1" t="s">
        <v>18</v>
      </c>
      <c r="F319">
        <v>4.2775156982985996</v>
      </c>
      <c r="G319">
        <v>5.7834364485691303</v>
      </c>
      <c r="H319">
        <v>8</v>
      </c>
      <c r="I319">
        <v>17</v>
      </c>
      <c r="J319" s="1" t="s">
        <v>15</v>
      </c>
      <c r="K319" s="1" t="s">
        <v>17</v>
      </c>
      <c r="L319" t="str" cm="1">
        <f t="array" ref="L319">_xlfn.IFS(B319&gt;-80,"Excellent",B319&gt;-95,"Good",B319&gt;-110,"Fair",  TRUE,"Poor")</f>
        <v>Fair</v>
      </c>
      <c r="M319" s="1" t="str">
        <f t="shared" si="4"/>
        <v>Normal</v>
      </c>
    </row>
    <row r="320" spans="1:13" x14ac:dyDescent="0.3">
      <c r="A320" s="3">
        <v>44882.548796296294</v>
      </c>
      <c r="B320">
        <v>-98.5669011195331</v>
      </c>
      <c r="C320">
        <v>23.395227873537301</v>
      </c>
      <c r="D320">
        <v>772.02771829819596</v>
      </c>
      <c r="E320" s="1" t="s">
        <v>18</v>
      </c>
      <c r="F320">
        <v>3.9946693779218299</v>
      </c>
      <c r="G320">
        <v>5.47768218573525</v>
      </c>
      <c r="H320">
        <v>4</v>
      </c>
      <c r="I320">
        <v>6</v>
      </c>
      <c r="J320" s="1" t="s">
        <v>12</v>
      </c>
      <c r="K320" s="1" t="s">
        <v>17</v>
      </c>
      <c r="L320" t="str" cm="1">
        <f t="array" ref="L320">_xlfn.IFS(B320&gt;-80,"Excellent",B320&gt;-95,"Good",B320&gt;-110,"Fair",  TRUE,"Poor")</f>
        <v>Fair</v>
      </c>
      <c r="M320" s="1" t="str">
        <f t="shared" si="4"/>
        <v>Normal</v>
      </c>
    </row>
    <row r="321" spans="1:13" x14ac:dyDescent="0.3">
      <c r="A321" s="3">
        <v>44883.859456018516</v>
      </c>
      <c r="B321">
        <v>-107.863245045919</v>
      </c>
      <c r="C321">
        <v>17.796964266600899</v>
      </c>
      <c r="D321">
        <v>138.746860610206</v>
      </c>
      <c r="E321" s="1" t="s">
        <v>11</v>
      </c>
      <c r="F321">
        <v>11.689346795848399</v>
      </c>
      <c r="G321">
        <v>7.6984018526278799</v>
      </c>
      <c r="H321">
        <v>7</v>
      </c>
      <c r="I321">
        <v>38</v>
      </c>
      <c r="J321" s="1" t="s">
        <v>12</v>
      </c>
      <c r="K321" s="1" t="s">
        <v>17</v>
      </c>
      <c r="L321" t="str" cm="1">
        <f t="array" ref="L321">_xlfn.IFS(B321&gt;-80,"Excellent",B321&gt;-95,"Good",B321&gt;-110,"Fair",  TRUE,"Poor")</f>
        <v>Fair</v>
      </c>
      <c r="M321" s="1" t="str">
        <f t="shared" si="4"/>
        <v>High Loss</v>
      </c>
    </row>
    <row r="322" spans="1:13" x14ac:dyDescent="0.3">
      <c r="A322" s="3">
        <v>44884.428888888891</v>
      </c>
      <c r="B322">
        <v>-98.935519853424694</v>
      </c>
      <c r="C322">
        <v>20.286999880159801</v>
      </c>
      <c r="D322">
        <v>298.88450092388803</v>
      </c>
      <c r="E322" s="1" t="s">
        <v>11</v>
      </c>
      <c r="F322">
        <v>11.2836167105795</v>
      </c>
      <c r="G322">
        <v>8.2180858388981495</v>
      </c>
      <c r="H322">
        <v>7</v>
      </c>
      <c r="I322">
        <v>38</v>
      </c>
      <c r="J322" s="1" t="s">
        <v>12</v>
      </c>
      <c r="K322" s="1" t="s">
        <v>17</v>
      </c>
      <c r="L322" t="str" cm="1">
        <f t="array" ref="L322">_xlfn.IFS(B322&gt;-80,"Excellent",B322&gt;-95,"Good",B322&gt;-110,"Fair",  TRUE,"Poor")</f>
        <v>Fair</v>
      </c>
      <c r="M322" s="1" t="str">
        <f t="shared" si="4"/>
        <v>High Loss</v>
      </c>
    </row>
    <row r="323" spans="1:13" x14ac:dyDescent="0.3">
      <c r="A323" s="3">
        <v>44885.863159722219</v>
      </c>
      <c r="B323">
        <v>-74.907231972149901</v>
      </c>
      <c r="C323">
        <v>29.041618854305302</v>
      </c>
      <c r="D323">
        <v>1005.22675612737</v>
      </c>
      <c r="E323" s="1" t="s">
        <v>18</v>
      </c>
      <c r="F323">
        <v>3.4406512805751501</v>
      </c>
      <c r="G323">
        <v>7.1048502840705803</v>
      </c>
      <c r="H323">
        <v>5</v>
      </c>
      <c r="I323">
        <v>22</v>
      </c>
      <c r="J323" s="1" t="s">
        <v>12</v>
      </c>
      <c r="K323" s="1" t="s">
        <v>17</v>
      </c>
      <c r="L323" t="str" cm="1">
        <f t="array" ref="L323">_xlfn.IFS(B323&gt;-80,"Excellent",B323&gt;-95,"Good",B323&gt;-110,"Fair",  TRUE,"Poor")</f>
        <v>Excellent</v>
      </c>
      <c r="M323" s="1" t="str">
        <f t="shared" ref="M323:M386" si="5">IF(F323&gt;10,"High Loss","Normal")</f>
        <v>Normal</v>
      </c>
    </row>
    <row r="324" spans="1:13" x14ac:dyDescent="0.3">
      <c r="A324" s="3">
        <v>44886.527268518519</v>
      </c>
      <c r="B324">
        <v>-90.797594411830801</v>
      </c>
      <c r="C324">
        <v>17.113672147791998</v>
      </c>
      <c r="D324">
        <v>1159.7644980597299</v>
      </c>
      <c r="E324" s="1" t="s">
        <v>16</v>
      </c>
      <c r="F324">
        <v>0.79845490896298399</v>
      </c>
      <c r="G324">
        <v>8.1799613018742399</v>
      </c>
      <c r="H324">
        <v>1</v>
      </c>
      <c r="I324">
        <v>30</v>
      </c>
      <c r="J324" s="1" t="s">
        <v>15</v>
      </c>
      <c r="K324" s="1" t="s">
        <v>17</v>
      </c>
      <c r="L324" t="str" cm="1">
        <f t="array" ref="L324">_xlfn.IFS(B324&gt;-80,"Excellent",B324&gt;-95,"Good",B324&gt;-110,"Fair",  TRUE,"Poor")</f>
        <v>Good</v>
      </c>
      <c r="M324" s="1" t="str">
        <f t="shared" si="5"/>
        <v>Normal</v>
      </c>
    </row>
    <row r="325" spans="1:13" x14ac:dyDescent="0.3">
      <c r="A325" s="3">
        <v>44887.411990740744</v>
      </c>
      <c r="B325">
        <v>-72.212303841441098</v>
      </c>
      <c r="C325">
        <v>19.072160344738499</v>
      </c>
      <c r="D325">
        <v>455.09413139397498</v>
      </c>
      <c r="E325" s="1" t="s">
        <v>18</v>
      </c>
      <c r="F325">
        <v>7.9568667276694596</v>
      </c>
      <c r="G325">
        <v>1.4138205047342201</v>
      </c>
      <c r="H325">
        <v>9</v>
      </c>
      <c r="I325">
        <v>49</v>
      </c>
      <c r="J325" s="1" t="s">
        <v>15</v>
      </c>
      <c r="K325" s="1" t="s">
        <v>17</v>
      </c>
      <c r="L325" t="str" cm="1">
        <f t="array" ref="L325">_xlfn.IFS(B325&gt;-80,"Excellent",B325&gt;-95,"Good",B325&gt;-110,"Fair",  TRUE,"Poor")</f>
        <v>Excellent</v>
      </c>
      <c r="M325" s="1" t="str">
        <f t="shared" si="5"/>
        <v>Normal</v>
      </c>
    </row>
    <row r="326" spans="1:13" x14ac:dyDescent="0.3">
      <c r="A326" s="3">
        <v>44888.539421296293</v>
      </c>
      <c r="B326">
        <v>-68.634064913443396</v>
      </c>
      <c r="C326">
        <v>12.5221539998078</v>
      </c>
      <c r="D326">
        <v>525.19930929050997</v>
      </c>
      <c r="E326" s="1" t="s">
        <v>14</v>
      </c>
      <c r="F326">
        <v>0.96323852640017604</v>
      </c>
      <c r="G326">
        <v>7.5470498934917902</v>
      </c>
      <c r="H326">
        <v>7</v>
      </c>
      <c r="I326">
        <v>99</v>
      </c>
      <c r="J326" s="1" t="s">
        <v>15</v>
      </c>
      <c r="K326" s="1" t="s">
        <v>17</v>
      </c>
      <c r="L326" t="str" cm="1">
        <f t="array" ref="L326">_xlfn.IFS(B326&gt;-80,"Excellent",B326&gt;-95,"Good",B326&gt;-110,"Fair",  TRUE,"Poor")</f>
        <v>Excellent</v>
      </c>
      <c r="M326" s="1" t="str">
        <f t="shared" si="5"/>
        <v>Normal</v>
      </c>
    </row>
    <row r="327" spans="1:13" x14ac:dyDescent="0.3">
      <c r="A327" s="3">
        <v>44889.775312500002</v>
      </c>
      <c r="B327">
        <v>-80.390367305200002</v>
      </c>
      <c r="C327">
        <v>11.691683814959401</v>
      </c>
      <c r="D327">
        <v>183.242323400076</v>
      </c>
      <c r="E327" s="1" t="s">
        <v>14</v>
      </c>
      <c r="F327">
        <v>8.5950978799719309</v>
      </c>
      <c r="G327">
        <v>0.187207742724287</v>
      </c>
      <c r="H327">
        <v>1</v>
      </c>
      <c r="I327">
        <v>87</v>
      </c>
      <c r="J327" s="1" t="s">
        <v>15</v>
      </c>
      <c r="K327" s="1" t="s">
        <v>13</v>
      </c>
      <c r="L327" t="str" cm="1">
        <f t="array" ref="L327">_xlfn.IFS(B327&gt;-80,"Excellent",B327&gt;-95,"Good",B327&gt;-110,"Fair",  TRUE,"Poor")</f>
        <v>Good</v>
      </c>
      <c r="M327" s="1" t="str">
        <f t="shared" si="5"/>
        <v>Normal</v>
      </c>
    </row>
    <row r="328" spans="1:13" x14ac:dyDescent="0.3">
      <c r="A328" s="3">
        <v>44890.467407407406</v>
      </c>
      <c r="B328">
        <v>-76.733212277514994</v>
      </c>
      <c r="C328">
        <v>26.258406411770999</v>
      </c>
      <c r="D328">
        <v>568.35540277970301</v>
      </c>
      <c r="E328" s="1" t="s">
        <v>16</v>
      </c>
      <c r="F328">
        <v>0.163901034814493</v>
      </c>
      <c r="G328">
        <v>3.4972608244553101</v>
      </c>
      <c r="H328">
        <v>2</v>
      </c>
      <c r="I328">
        <v>6</v>
      </c>
      <c r="J328" s="1" t="s">
        <v>12</v>
      </c>
      <c r="K328" s="1" t="s">
        <v>17</v>
      </c>
      <c r="L328" t="str" cm="1">
        <f t="array" ref="L328">_xlfn.IFS(B328&gt;-80,"Excellent",B328&gt;-95,"Good",B328&gt;-110,"Fair",  TRUE,"Poor")</f>
        <v>Excellent</v>
      </c>
      <c r="M328" s="1" t="str">
        <f t="shared" si="5"/>
        <v>Normal</v>
      </c>
    </row>
    <row r="329" spans="1:13" x14ac:dyDescent="0.3">
      <c r="A329" s="3">
        <v>44891.781261574077</v>
      </c>
      <c r="B329">
        <v>-75.203130068790998</v>
      </c>
      <c r="C329">
        <v>15.260982052807</v>
      </c>
      <c r="D329">
        <v>306.52590159840099</v>
      </c>
      <c r="E329" s="1" t="s">
        <v>14</v>
      </c>
      <c r="F329">
        <v>2.0955547330762299</v>
      </c>
      <c r="G329">
        <v>1.8862047948031899</v>
      </c>
      <c r="H329">
        <v>7</v>
      </c>
      <c r="I329">
        <v>53</v>
      </c>
      <c r="J329" s="1" t="s">
        <v>12</v>
      </c>
      <c r="K329" s="1" t="s">
        <v>13</v>
      </c>
      <c r="L329" t="str" cm="1">
        <f t="array" ref="L329">_xlfn.IFS(B329&gt;-80,"Excellent",B329&gt;-95,"Good",B329&gt;-110,"Fair",  TRUE,"Poor")</f>
        <v>Excellent</v>
      </c>
      <c r="M329" s="1" t="str">
        <f t="shared" si="5"/>
        <v>Normal</v>
      </c>
    </row>
    <row r="330" spans="1:13" x14ac:dyDescent="0.3">
      <c r="A330" s="3">
        <v>44892.971944444442</v>
      </c>
      <c r="B330">
        <v>-99.811435669640602</v>
      </c>
      <c r="C330">
        <v>12.2551612933317</v>
      </c>
      <c r="D330">
        <v>550.19942289346102</v>
      </c>
      <c r="E330" s="1" t="s">
        <v>14</v>
      </c>
      <c r="F330">
        <v>6.7806870332277196</v>
      </c>
      <c r="G330">
        <v>1.2991773647803999</v>
      </c>
      <c r="H330">
        <v>10</v>
      </c>
      <c r="I330">
        <v>81</v>
      </c>
      <c r="J330" s="1" t="s">
        <v>15</v>
      </c>
      <c r="K330" s="1" t="s">
        <v>17</v>
      </c>
      <c r="L330" t="str" cm="1">
        <f t="array" ref="L330">_xlfn.IFS(B330&gt;-80,"Excellent",B330&gt;-95,"Good",B330&gt;-110,"Fair",  TRUE,"Poor")</f>
        <v>Fair</v>
      </c>
      <c r="M330" s="1" t="str">
        <f t="shared" si="5"/>
        <v>Normal</v>
      </c>
    </row>
    <row r="331" spans="1:13" x14ac:dyDescent="0.3">
      <c r="A331" s="3">
        <v>44893.960381944446</v>
      </c>
      <c r="B331">
        <v>-67.827522493477503</v>
      </c>
      <c r="C331">
        <v>18.377288582602301</v>
      </c>
      <c r="D331">
        <v>558.68010434341898</v>
      </c>
      <c r="E331" s="1" t="s">
        <v>16</v>
      </c>
      <c r="F331">
        <v>4.0327639468873198</v>
      </c>
      <c r="G331">
        <v>0.194868821502374</v>
      </c>
      <c r="H331">
        <v>2</v>
      </c>
      <c r="I331">
        <v>32</v>
      </c>
      <c r="J331" s="1" t="s">
        <v>12</v>
      </c>
      <c r="K331" s="1" t="s">
        <v>17</v>
      </c>
      <c r="L331" t="str" cm="1">
        <f t="array" ref="L331">_xlfn.IFS(B331&gt;-80,"Excellent",B331&gt;-95,"Good",B331&gt;-110,"Fair",  TRUE,"Poor")</f>
        <v>Excellent</v>
      </c>
      <c r="M331" s="1" t="str">
        <f t="shared" si="5"/>
        <v>Normal</v>
      </c>
    </row>
    <row r="332" spans="1:13" x14ac:dyDescent="0.3">
      <c r="A332" s="3">
        <v>44894.496006944442</v>
      </c>
      <c r="B332">
        <v>-108.666047670441</v>
      </c>
      <c r="C332">
        <v>11.328668691202401</v>
      </c>
      <c r="D332">
        <v>1545.62053256338</v>
      </c>
      <c r="E332" s="1" t="s">
        <v>11</v>
      </c>
      <c r="F332">
        <v>9.73685636734408</v>
      </c>
      <c r="G332">
        <v>0.18326670991624899</v>
      </c>
      <c r="H332">
        <v>9</v>
      </c>
      <c r="I332">
        <v>50</v>
      </c>
      <c r="J332" s="1" t="s">
        <v>12</v>
      </c>
      <c r="K332" s="1" t="s">
        <v>17</v>
      </c>
      <c r="L332" t="str" cm="1">
        <f t="array" ref="L332">_xlfn.IFS(B332&gt;-80,"Excellent",B332&gt;-95,"Good",B332&gt;-110,"Fair",  TRUE,"Poor")</f>
        <v>Fair</v>
      </c>
      <c r="M332" s="1" t="str">
        <f t="shared" si="5"/>
        <v>Normal</v>
      </c>
    </row>
    <row r="333" spans="1:13" x14ac:dyDescent="0.3">
      <c r="A333" s="3">
        <v>44895.490243055552</v>
      </c>
      <c r="B333">
        <v>-83.759793783469902</v>
      </c>
      <c r="C333">
        <v>22.527563252780599</v>
      </c>
      <c r="D333">
        <v>1047.5274540523701</v>
      </c>
      <c r="E333" s="1" t="s">
        <v>11</v>
      </c>
      <c r="F333">
        <v>14.699734102511799</v>
      </c>
      <c r="G333">
        <v>2.3821439837286098</v>
      </c>
      <c r="H333">
        <v>6</v>
      </c>
      <c r="I333">
        <v>62</v>
      </c>
      <c r="J333" s="1" t="s">
        <v>15</v>
      </c>
      <c r="K333" s="1" t="s">
        <v>13</v>
      </c>
      <c r="L333" t="str" cm="1">
        <f t="array" ref="L333">_xlfn.IFS(B333&gt;-80,"Excellent",B333&gt;-95,"Good",B333&gt;-110,"Fair",  TRUE,"Poor")</f>
        <v>Good</v>
      </c>
      <c r="M333" s="1" t="str">
        <f t="shared" si="5"/>
        <v>High Loss</v>
      </c>
    </row>
    <row r="334" spans="1:13" x14ac:dyDescent="0.3">
      <c r="A334" s="3">
        <v>44896.819456018522</v>
      </c>
      <c r="B334">
        <v>-115.07567494113501</v>
      </c>
      <c r="C334">
        <v>14.2867053225968</v>
      </c>
      <c r="D334">
        <v>835.16126808112494</v>
      </c>
      <c r="E334" s="1" t="s">
        <v>16</v>
      </c>
      <c r="F334">
        <v>0.18690389800253099</v>
      </c>
      <c r="G334">
        <v>5.3109818650162</v>
      </c>
      <c r="H334">
        <v>1</v>
      </c>
      <c r="I334">
        <v>96</v>
      </c>
      <c r="J334" s="1" t="s">
        <v>15</v>
      </c>
      <c r="K334" s="1" t="s">
        <v>17</v>
      </c>
      <c r="L334" t="str" cm="1">
        <f t="array" ref="L334">_xlfn.IFS(B334&gt;-80,"Excellent",B334&gt;-95,"Good",B334&gt;-110,"Fair",  TRUE,"Poor")</f>
        <v>Poor</v>
      </c>
      <c r="M334" s="1" t="str">
        <f t="shared" si="5"/>
        <v>Normal</v>
      </c>
    </row>
    <row r="335" spans="1:13" x14ac:dyDescent="0.3">
      <c r="A335" s="3">
        <v>44897.529456018521</v>
      </c>
      <c r="B335">
        <v>-104.93871618799599</v>
      </c>
      <c r="C335">
        <v>13.2396396458197</v>
      </c>
      <c r="D335">
        <v>963.88994567933401</v>
      </c>
      <c r="E335" s="1" t="s">
        <v>11</v>
      </c>
      <c r="F335">
        <v>12.359976072820601</v>
      </c>
      <c r="G335">
        <v>5.5584004925104997</v>
      </c>
      <c r="H335">
        <v>2</v>
      </c>
      <c r="I335">
        <v>28</v>
      </c>
      <c r="J335" s="1" t="s">
        <v>15</v>
      </c>
      <c r="K335" s="1" t="s">
        <v>17</v>
      </c>
      <c r="L335" t="str" cm="1">
        <f t="array" ref="L335">_xlfn.IFS(B335&gt;-80,"Excellent",B335&gt;-95,"Good",B335&gt;-110,"Fair",  TRUE,"Poor")</f>
        <v>Fair</v>
      </c>
      <c r="M335" s="1" t="str">
        <f t="shared" si="5"/>
        <v>High Loss</v>
      </c>
    </row>
    <row r="336" spans="1:13" x14ac:dyDescent="0.3">
      <c r="A336" s="3">
        <v>44898.676099537035</v>
      </c>
      <c r="B336">
        <v>-71.981466925647197</v>
      </c>
      <c r="C336">
        <v>11.501597603204999</v>
      </c>
      <c r="D336">
        <v>1721.23869922111</v>
      </c>
      <c r="E336" s="1" t="s">
        <v>14</v>
      </c>
      <c r="F336">
        <v>1.1773980976012599</v>
      </c>
      <c r="G336">
        <v>8.4196529816551795</v>
      </c>
      <c r="H336">
        <v>9</v>
      </c>
      <c r="I336">
        <v>18</v>
      </c>
      <c r="J336" s="1" t="s">
        <v>12</v>
      </c>
      <c r="K336" s="1" t="s">
        <v>13</v>
      </c>
      <c r="L336" t="str" cm="1">
        <f t="array" ref="L336">_xlfn.IFS(B336&gt;-80,"Excellent",B336&gt;-95,"Good",B336&gt;-110,"Fair",  TRUE,"Poor")</f>
        <v>Excellent</v>
      </c>
      <c r="M336" s="1" t="str">
        <f t="shared" si="5"/>
        <v>Normal</v>
      </c>
    </row>
    <row r="337" spans="1:13" x14ac:dyDescent="0.3">
      <c r="A337" s="3">
        <v>44899.694803240738</v>
      </c>
      <c r="B337">
        <v>-78.944114682957505</v>
      </c>
      <c r="C337">
        <v>14.5000440281176</v>
      </c>
      <c r="D337">
        <v>252.416595011856</v>
      </c>
      <c r="E337" s="1" t="s">
        <v>18</v>
      </c>
      <c r="F337">
        <v>6.08462960276659</v>
      </c>
      <c r="G337">
        <v>9.1127867127572308</v>
      </c>
      <c r="H337">
        <v>5</v>
      </c>
      <c r="I337">
        <v>79</v>
      </c>
      <c r="J337" s="1" t="s">
        <v>15</v>
      </c>
      <c r="K337" s="1" t="s">
        <v>13</v>
      </c>
      <c r="L337" t="str" cm="1">
        <f t="array" ref="L337">_xlfn.IFS(B337&gt;-80,"Excellent",B337&gt;-95,"Good",B337&gt;-110,"Fair",  TRUE,"Poor")</f>
        <v>Excellent</v>
      </c>
      <c r="M337" s="1" t="str">
        <f t="shared" si="5"/>
        <v>Normal</v>
      </c>
    </row>
    <row r="338" spans="1:13" x14ac:dyDescent="0.3">
      <c r="A338" s="3">
        <v>44900.449594907404</v>
      </c>
      <c r="B338">
        <v>-91.896376128621398</v>
      </c>
      <c r="C338">
        <v>19.744487439946798</v>
      </c>
      <c r="D338">
        <v>1447.57338989344</v>
      </c>
      <c r="E338" s="1" t="s">
        <v>14</v>
      </c>
      <c r="F338">
        <v>5.4060193327544104</v>
      </c>
      <c r="G338">
        <v>4.3399579544838502</v>
      </c>
      <c r="H338">
        <v>9</v>
      </c>
      <c r="I338">
        <v>26</v>
      </c>
      <c r="J338" s="1" t="s">
        <v>15</v>
      </c>
      <c r="K338" s="1" t="s">
        <v>17</v>
      </c>
      <c r="L338" t="str" cm="1">
        <f t="array" ref="L338">_xlfn.IFS(B338&gt;-80,"Excellent",B338&gt;-95,"Good",B338&gt;-110,"Fair",  TRUE,"Poor")</f>
        <v>Good</v>
      </c>
      <c r="M338" s="1" t="str">
        <f t="shared" si="5"/>
        <v>Normal</v>
      </c>
    </row>
    <row r="339" spans="1:13" x14ac:dyDescent="0.3">
      <c r="A339" s="3">
        <v>44901.629317129627</v>
      </c>
      <c r="B339">
        <v>-82.4516914398517</v>
      </c>
      <c r="C339">
        <v>14.786130759555199</v>
      </c>
      <c r="D339">
        <v>1074.9170315579099</v>
      </c>
      <c r="E339" s="1" t="s">
        <v>11</v>
      </c>
      <c r="F339">
        <v>10.5014452868239</v>
      </c>
      <c r="G339">
        <v>8.8609037486615101</v>
      </c>
      <c r="H339">
        <v>2</v>
      </c>
      <c r="I339">
        <v>67</v>
      </c>
      <c r="J339" s="1" t="s">
        <v>12</v>
      </c>
      <c r="K339" s="1" t="s">
        <v>13</v>
      </c>
      <c r="L339" t="str" cm="1">
        <f t="array" ref="L339">_xlfn.IFS(B339&gt;-80,"Excellent",B339&gt;-95,"Good",B339&gt;-110,"Fair",  TRUE,"Poor")</f>
        <v>Good</v>
      </c>
      <c r="M339" s="1" t="str">
        <f t="shared" si="5"/>
        <v>High Loss</v>
      </c>
    </row>
    <row r="340" spans="1:13" x14ac:dyDescent="0.3">
      <c r="A340" s="3">
        <v>44902.788368055553</v>
      </c>
      <c r="B340">
        <v>-99.380517786246102</v>
      </c>
      <c r="C340">
        <v>27.215800883783398</v>
      </c>
      <c r="D340">
        <v>620.94787139944106</v>
      </c>
      <c r="E340" s="1" t="s">
        <v>11</v>
      </c>
      <c r="F340">
        <v>14.9397933547056</v>
      </c>
      <c r="G340">
        <v>2.8855952305185002</v>
      </c>
      <c r="H340">
        <v>10</v>
      </c>
      <c r="I340">
        <v>57</v>
      </c>
      <c r="J340" s="1" t="s">
        <v>15</v>
      </c>
      <c r="K340" s="1" t="s">
        <v>17</v>
      </c>
      <c r="L340" t="str" cm="1">
        <f t="array" ref="L340">_xlfn.IFS(B340&gt;-80,"Excellent",B340&gt;-95,"Good",B340&gt;-110,"Fair",  TRUE,"Poor")</f>
        <v>Fair</v>
      </c>
      <c r="M340" s="1" t="str">
        <f t="shared" si="5"/>
        <v>High Loss</v>
      </c>
    </row>
    <row r="341" spans="1:13" x14ac:dyDescent="0.3">
      <c r="A341" s="3">
        <v>44903.742523148147</v>
      </c>
      <c r="B341">
        <v>-74.211207781949796</v>
      </c>
      <c r="C341">
        <v>29.872925536782201</v>
      </c>
      <c r="D341">
        <v>698.00304766445299</v>
      </c>
      <c r="E341" s="1" t="s">
        <v>18</v>
      </c>
      <c r="F341">
        <v>5.1082294904268997</v>
      </c>
      <c r="G341">
        <v>3.5398313706543201</v>
      </c>
      <c r="H341">
        <v>8</v>
      </c>
      <c r="I341">
        <v>98</v>
      </c>
      <c r="J341" s="1" t="s">
        <v>15</v>
      </c>
      <c r="K341" s="1" t="s">
        <v>17</v>
      </c>
      <c r="L341" t="str" cm="1">
        <f t="array" ref="L341">_xlfn.IFS(B341&gt;-80,"Excellent",B341&gt;-95,"Good",B341&gt;-110,"Fair",  TRUE,"Poor")</f>
        <v>Excellent</v>
      </c>
      <c r="M341" s="1" t="str">
        <f t="shared" si="5"/>
        <v>Normal</v>
      </c>
    </row>
    <row r="342" spans="1:13" x14ac:dyDescent="0.3">
      <c r="A342" s="3">
        <v>44904.552083333336</v>
      </c>
      <c r="B342">
        <v>-64.621575723169499</v>
      </c>
      <c r="C342">
        <v>27.8120712455272</v>
      </c>
      <c r="D342">
        <v>667.92519627212903</v>
      </c>
      <c r="E342" s="1" t="s">
        <v>16</v>
      </c>
      <c r="F342">
        <v>4.6698142047054496</v>
      </c>
      <c r="G342">
        <v>8.3792690186322094</v>
      </c>
      <c r="H342">
        <v>1</v>
      </c>
      <c r="I342">
        <v>65</v>
      </c>
      <c r="J342" s="1" t="s">
        <v>12</v>
      </c>
      <c r="K342" s="1" t="s">
        <v>13</v>
      </c>
      <c r="L342" t="str" cm="1">
        <f t="array" ref="L342">_xlfn.IFS(B342&gt;-80,"Excellent",B342&gt;-95,"Good",B342&gt;-110,"Fair",  TRUE,"Poor")</f>
        <v>Excellent</v>
      </c>
      <c r="M342" s="1" t="str">
        <f t="shared" si="5"/>
        <v>Normal</v>
      </c>
    </row>
    <row r="343" spans="1:13" x14ac:dyDescent="0.3">
      <c r="A343" s="3">
        <v>44905.701261574075</v>
      </c>
      <c r="B343">
        <v>-103.66481472955201</v>
      </c>
      <c r="C343">
        <v>26.222187314572398</v>
      </c>
      <c r="D343">
        <v>515.92954348134799</v>
      </c>
      <c r="E343" s="1" t="s">
        <v>16</v>
      </c>
      <c r="F343">
        <v>1.3835892678519099</v>
      </c>
      <c r="G343">
        <v>8.8541699067523094</v>
      </c>
      <c r="H343">
        <v>10</v>
      </c>
      <c r="I343">
        <v>62</v>
      </c>
      <c r="J343" s="1" t="s">
        <v>12</v>
      </c>
      <c r="K343" s="1" t="s">
        <v>17</v>
      </c>
      <c r="L343" t="str" cm="1">
        <f t="array" ref="L343">_xlfn.IFS(B343&gt;-80,"Excellent",B343&gt;-95,"Good",B343&gt;-110,"Fair",  TRUE,"Poor")</f>
        <v>Fair</v>
      </c>
      <c r="M343" s="1" t="str">
        <f t="shared" si="5"/>
        <v>Normal</v>
      </c>
    </row>
    <row r="344" spans="1:13" x14ac:dyDescent="0.3">
      <c r="A344" s="3">
        <v>44906.810046296298</v>
      </c>
      <c r="B344">
        <v>-87.365121855670395</v>
      </c>
      <c r="C344">
        <v>11.3163229519518</v>
      </c>
      <c r="D344">
        <v>991.15777907920801</v>
      </c>
      <c r="E344" s="1" t="s">
        <v>18</v>
      </c>
      <c r="F344">
        <v>2.1724752020611899</v>
      </c>
      <c r="G344">
        <v>1.4874809634161901</v>
      </c>
      <c r="H344">
        <v>2</v>
      </c>
      <c r="I344">
        <v>54</v>
      </c>
      <c r="J344" s="1" t="s">
        <v>15</v>
      </c>
      <c r="K344" s="1" t="s">
        <v>13</v>
      </c>
      <c r="L344" t="str" cm="1">
        <f t="array" ref="L344">_xlfn.IFS(B344&gt;-80,"Excellent",B344&gt;-95,"Good",B344&gt;-110,"Fair",  TRUE,"Poor")</f>
        <v>Good</v>
      </c>
      <c r="M344" s="1" t="str">
        <f t="shared" si="5"/>
        <v>Normal</v>
      </c>
    </row>
    <row r="345" spans="1:13" x14ac:dyDescent="0.3">
      <c r="A345" s="3">
        <v>44907.649293981478</v>
      </c>
      <c r="B345">
        <v>-84.320620422794505</v>
      </c>
      <c r="C345">
        <v>11.301595061081199</v>
      </c>
      <c r="D345">
        <v>357.73772766439799</v>
      </c>
      <c r="E345" s="1" t="s">
        <v>16</v>
      </c>
      <c r="F345">
        <v>0.766244106190476</v>
      </c>
      <c r="G345">
        <v>2.6730047402385102</v>
      </c>
      <c r="H345">
        <v>2</v>
      </c>
      <c r="I345">
        <v>74</v>
      </c>
      <c r="J345" s="1" t="s">
        <v>15</v>
      </c>
      <c r="K345" s="1" t="s">
        <v>13</v>
      </c>
      <c r="L345" t="str" cm="1">
        <f t="array" ref="L345">_xlfn.IFS(B345&gt;-80,"Excellent",B345&gt;-95,"Good",B345&gt;-110,"Fair",  TRUE,"Poor")</f>
        <v>Good</v>
      </c>
      <c r="M345" s="1" t="str">
        <f t="shared" si="5"/>
        <v>Normal</v>
      </c>
    </row>
    <row r="346" spans="1:13" x14ac:dyDescent="0.3">
      <c r="A346" s="3">
        <v>44908.471608796295</v>
      </c>
      <c r="B346">
        <v>-88.777605275305305</v>
      </c>
      <c r="C346">
        <v>26.066995807487</v>
      </c>
      <c r="D346">
        <v>1102.8379072226201</v>
      </c>
      <c r="E346" s="1" t="s">
        <v>18</v>
      </c>
      <c r="F346">
        <v>4.2993576391030297</v>
      </c>
      <c r="G346">
        <v>6.9513999310944099</v>
      </c>
      <c r="H346">
        <v>4</v>
      </c>
      <c r="I346">
        <v>75</v>
      </c>
      <c r="J346" s="1" t="s">
        <v>12</v>
      </c>
      <c r="K346" s="1" t="s">
        <v>13</v>
      </c>
      <c r="L346" t="str" cm="1">
        <f t="array" ref="L346">_xlfn.IFS(B346&gt;-80,"Excellent",B346&gt;-95,"Good",B346&gt;-110,"Fair",  TRUE,"Poor")</f>
        <v>Good</v>
      </c>
      <c r="M346" s="1" t="str">
        <f t="shared" si="5"/>
        <v>Normal</v>
      </c>
    </row>
    <row r="347" spans="1:13" x14ac:dyDescent="0.3">
      <c r="A347" s="3">
        <v>44909.516562500001</v>
      </c>
      <c r="B347">
        <v>-96.735431931601696</v>
      </c>
      <c r="C347">
        <v>19.5304014024663</v>
      </c>
      <c r="D347">
        <v>1198.4165931867799</v>
      </c>
      <c r="E347" s="1" t="s">
        <v>18</v>
      </c>
      <c r="F347">
        <v>3.7466268126771398</v>
      </c>
      <c r="G347">
        <v>9.5256543517600694</v>
      </c>
      <c r="H347">
        <v>1</v>
      </c>
      <c r="I347">
        <v>68</v>
      </c>
      <c r="J347" s="1" t="s">
        <v>12</v>
      </c>
      <c r="K347" s="1" t="s">
        <v>17</v>
      </c>
      <c r="L347" t="str" cm="1">
        <f t="array" ref="L347">_xlfn.IFS(B347&gt;-80,"Excellent",B347&gt;-95,"Good",B347&gt;-110,"Fair",  TRUE,"Poor")</f>
        <v>Fair</v>
      </c>
      <c r="M347" s="1" t="str">
        <f t="shared" si="5"/>
        <v>Normal</v>
      </c>
    </row>
    <row r="348" spans="1:13" x14ac:dyDescent="0.3">
      <c r="A348" s="3">
        <v>44910.76158564815</v>
      </c>
      <c r="B348">
        <v>-72.653438336666696</v>
      </c>
      <c r="C348">
        <v>20.4723401495784</v>
      </c>
      <c r="D348">
        <v>429.85955726033097</v>
      </c>
      <c r="E348" s="1" t="s">
        <v>11</v>
      </c>
      <c r="F348">
        <v>10.829355474794699</v>
      </c>
      <c r="G348">
        <v>0.35206923576467097</v>
      </c>
      <c r="H348">
        <v>8</v>
      </c>
      <c r="I348">
        <v>89</v>
      </c>
      <c r="J348" s="1" t="s">
        <v>12</v>
      </c>
      <c r="K348" s="1" t="s">
        <v>13</v>
      </c>
      <c r="L348" t="str" cm="1">
        <f t="array" ref="L348">_xlfn.IFS(B348&gt;-80,"Excellent",B348&gt;-95,"Good",B348&gt;-110,"Fair",  TRUE,"Poor")</f>
        <v>Excellent</v>
      </c>
      <c r="M348" s="1" t="str">
        <f t="shared" si="5"/>
        <v>High Loss</v>
      </c>
    </row>
    <row r="349" spans="1:13" x14ac:dyDescent="0.3">
      <c r="A349" s="3">
        <v>44911.949930555558</v>
      </c>
      <c r="B349">
        <v>-118.681317718823</v>
      </c>
      <c r="C349">
        <v>15.3056533938586</v>
      </c>
      <c r="D349">
        <v>1621.47908513179</v>
      </c>
      <c r="E349" s="1" t="s">
        <v>16</v>
      </c>
      <c r="F349">
        <v>3.78369272956003</v>
      </c>
      <c r="G349">
        <v>1.66532712401922</v>
      </c>
      <c r="H349">
        <v>7</v>
      </c>
      <c r="I349">
        <v>83</v>
      </c>
      <c r="J349" s="1" t="s">
        <v>15</v>
      </c>
      <c r="K349" s="1" t="s">
        <v>17</v>
      </c>
      <c r="L349" t="str" cm="1">
        <f t="array" ref="L349">_xlfn.IFS(B349&gt;-80,"Excellent",B349&gt;-95,"Good",B349&gt;-110,"Fair",  TRUE,"Poor")</f>
        <v>Poor</v>
      </c>
      <c r="M349" s="1" t="str">
        <f t="shared" si="5"/>
        <v>Normal</v>
      </c>
    </row>
    <row r="350" spans="1:13" x14ac:dyDescent="0.3">
      <c r="A350" s="3">
        <v>44912.810740740744</v>
      </c>
      <c r="B350">
        <v>-89.732517463596196</v>
      </c>
      <c r="C350">
        <v>19.142353564531</v>
      </c>
      <c r="D350">
        <v>501.96757437722198</v>
      </c>
      <c r="E350" s="1" t="s">
        <v>16</v>
      </c>
      <c r="F350">
        <v>4.8917721065656803</v>
      </c>
      <c r="G350">
        <v>8.41692507672178</v>
      </c>
      <c r="H350">
        <v>4</v>
      </c>
      <c r="I350">
        <v>34</v>
      </c>
      <c r="J350" s="1" t="s">
        <v>15</v>
      </c>
      <c r="K350" s="1" t="s">
        <v>13</v>
      </c>
      <c r="L350" t="str" cm="1">
        <f t="array" ref="L350">_xlfn.IFS(B350&gt;-80,"Excellent",B350&gt;-95,"Good",B350&gt;-110,"Fair",  TRUE,"Poor")</f>
        <v>Good</v>
      </c>
      <c r="M350" s="1" t="str">
        <f t="shared" si="5"/>
        <v>Normal</v>
      </c>
    </row>
    <row r="351" spans="1:13" x14ac:dyDescent="0.3">
      <c r="A351" s="3">
        <v>44913.87300925926</v>
      </c>
      <c r="B351">
        <v>-50.664413362160197</v>
      </c>
      <c r="C351">
        <v>27.910995770528601</v>
      </c>
      <c r="D351">
        <v>1068.8920554108199</v>
      </c>
      <c r="E351" s="1" t="s">
        <v>16</v>
      </c>
      <c r="F351">
        <v>3.61723132882915</v>
      </c>
      <c r="G351">
        <v>6.1730509378796903</v>
      </c>
      <c r="H351">
        <v>7</v>
      </c>
      <c r="I351">
        <v>63</v>
      </c>
      <c r="J351" s="1" t="s">
        <v>12</v>
      </c>
      <c r="K351" s="1" t="s">
        <v>17</v>
      </c>
      <c r="L351" t="str" cm="1">
        <f t="array" ref="L351">_xlfn.IFS(B351&gt;-80,"Excellent",B351&gt;-95,"Good",B351&gt;-110,"Fair",  TRUE,"Poor")</f>
        <v>Excellent</v>
      </c>
      <c r="M351" s="1" t="str">
        <f t="shared" si="5"/>
        <v>Normal</v>
      </c>
    </row>
    <row r="352" spans="1:13" x14ac:dyDescent="0.3">
      <c r="A352" s="3">
        <v>44914.598576388889</v>
      </c>
      <c r="B352">
        <v>-84.189961052104294</v>
      </c>
      <c r="C352">
        <v>17.7363519640734</v>
      </c>
      <c r="D352">
        <v>831.22085176373298</v>
      </c>
      <c r="E352" s="1" t="s">
        <v>16</v>
      </c>
      <c r="F352">
        <v>3.5923447356490201</v>
      </c>
      <c r="G352">
        <v>2.9849052997871799</v>
      </c>
      <c r="H352">
        <v>5</v>
      </c>
      <c r="I352">
        <v>5</v>
      </c>
      <c r="J352" s="1" t="s">
        <v>15</v>
      </c>
      <c r="K352" s="1" t="s">
        <v>17</v>
      </c>
      <c r="L352" t="str" cm="1">
        <f t="array" ref="L352">_xlfn.IFS(B352&gt;-80,"Excellent",B352&gt;-95,"Good",B352&gt;-110,"Fair",  TRUE,"Poor")</f>
        <v>Good</v>
      </c>
      <c r="M352" s="1" t="str">
        <f t="shared" si="5"/>
        <v>Normal</v>
      </c>
    </row>
    <row r="353" spans="1:13" x14ac:dyDescent="0.3">
      <c r="A353" s="3">
        <v>44915.475902777776</v>
      </c>
      <c r="B353">
        <v>-79.9191124219291</v>
      </c>
      <c r="C353">
        <v>13.646240629303801</v>
      </c>
      <c r="D353">
        <v>201.75625079120601</v>
      </c>
      <c r="E353" s="1" t="s">
        <v>16</v>
      </c>
      <c r="F353">
        <v>1.0629382701255801</v>
      </c>
      <c r="G353">
        <v>9.5845775811274798</v>
      </c>
      <c r="H353">
        <v>9</v>
      </c>
      <c r="I353">
        <v>76</v>
      </c>
      <c r="J353" s="1" t="s">
        <v>15</v>
      </c>
      <c r="K353" s="1" t="s">
        <v>13</v>
      </c>
      <c r="L353" t="str" cm="1">
        <f t="array" ref="L353">_xlfn.IFS(B353&gt;-80,"Excellent",B353&gt;-95,"Good",B353&gt;-110,"Fair",  TRUE,"Poor")</f>
        <v>Excellent</v>
      </c>
      <c r="M353" s="1" t="str">
        <f t="shared" si="5"/>
        <v>Normal</v>
      </c>
    </row>
    <row r="354" spans="1:13" x14ac:dyDescent="0.3">
      <c r="A354" s="3">
        <v>44916.739363425928</v>
      </c>
      <c r="B354">
        <v>-71.522874080118001</v>
      </c>
      <c r="C354">
        <v>24.393179460770401</v>
      </c>
      <c r="D354">
        <v>1480.3090134066499</v>
      </c>
      <c r="E354" s="1" t="s">
        <v>11</v>
      </c>
      <c r="F354">
        <v>8.5416953678106893</v>
      </c>
      <c r="G354">
        <v>4.5620548922385202</v>
      </c>
      <c r="H354">
        <v>6</v>
      </c>
      <c r="I354">
        <v>52</v>
      </c>
      <c r="J354" s="1" t="s">
        <v>12</v>
      </c>
      <c r="K354" s="1" t="s">
        <v>13</v>
      </c>
      <c r="L354" t="str" cm="1">
        <f t="array" ref="L354">_xlfn.IFS(B354&gt;-80,"Excellent",B354&gt;-95,"Good",B354&gt;-110,"Fair",  TRUE,"Poor")</f>
        <v>Excellent</v>
      </c>
      <c r="M354" s="1" t="str">
        <f t="shared" si="5"/>
        <v>Normal</v>
      </c>
    </row>
    <row r="355" spans="1:13" x14ac:dyDescent="0.3">
      <c r="A355" s="3">
        <v>44917.595833333333</v>
      </c>
      <c r="B355">
        <v>-104.518773184998</v>
      </c>
      <c r="C355">
        <v>13.843171326319901</v>
      </c>
      <c r="D355">
        <v>772.41233082881195</v>
      </c>
      <c r="E355" s="1" t="s">
        <v>16</v>
      </c>
      <c r="F355">
        <v>4.58441327806083</v>
      </c>
      <c r="G355">
        <v>6.2976566505315201</v>
      </c>
      <c r="H355">
        <v>1</v>
      </c>
      <c r="I355">
        <v>87</v>
      </c>
      <c r="J355" s="1" t="s">
        <v>15</v>
      </c>
      <c r="K355" s="1" t="s">
        <v>17</v>
      </c>
      <c r="L355" t="str" cm="1">
        <f t="array" ref="L355">_xlfn.IFS(B355&gt;-80,"Excellent",B355&gt;-95,"Good",B355&gt;-110,"Fair",  TRUE,"Poor")</f>
        <v>Fair</v>
      </c>
      <c r="M355" s="1" t="str">
        <f t="shared" si="5"/>
        <v>Normal</v>
      </c>
    </row>
    <row r="356" spans="1:13" x14ac:dyDescent="0.3">
      <c r="A356" s="3">
        <v>44918.803090277775</v>
      </c>
      <c r="B356">
        <v>-69.290274295330207</v>
      </c>
      <c r="C356">
        <v>15.412406246174401</v>
      </c>
      <c r="D356">
        <v>1696.59635956903</v>
      </c>
      <c r="E356" s="1" t="s">
        <v>16</v>
      </c>
      <c r="F356">
        <v>4.7278306372356003</v>
      </c>
      <c r="G356">
        <v>5.27858077268891</v>
      </c>
      <c r="H356">
        <v>7</v>
      </c>
      <c r="I356">
        <v>91</v>
      </c>
      <c r="J356" s="1" t="s">
        <v>15</v>
      </c>
      <c r="K356" s="1" t="s">
        <v>13</v>
      </c>
      <c r="L356" t="str" cm="1">
        <f t="array" ref="L356">_xlfn.IFS(B356&gt;-80,"Excellent",B356&gt;-95,"Good",B356&gt;-110,"Fair",  TRUE,"Poor")</f>
        <v>Excellent</v>
      </c>
      <c r="M356" s="1" t="str">
        <f t="shared" si="5"/>
        <v>Normal</v>
      </c>
    </row>
    <row r="357" spans="1:13" x14ac:dyDescent="0.3">
      <c r="A357" s="3">
        <v>44919.955127314817</v>
      </c>
      <c r="B357">
        <v>-105.534118142772</v>
      </c>
      <c r="C357">
        <v>26.864067267420999</v>
      </c>
      <c r="D357">
        <v>1059.4101187138999</v>
      </c>
      <c r="E357" s="1" t="s">
        <v>11</v>
      </c>
      <c r="F357">
        <v>6.6559432696002103</v>
      </c>
      <c r="G357">
        <v>9.5276146839027103</v>
      </c>
      <c r="H357">
        <v>9</v>
      </c>
      <c r="I357">
        <v>29</v>
      </c>
      <c r="J357" s="1" t="s">
        <v>15</v>
      </c>
      <c r="K357" s="1" t="s">
        <v>17</v>
      </c>
      <c r="L357" t="str" cm="1">
        <f t="array" ref="L357">_xlfn.IFS(B357&gt;-80,"Excellent",B357&gt;-95,"Good",B357&gt;-110,"Fair",  TRUE,"Poor")</f>
        <v>Fair</v>
      </c>
      <c r="M357" s="1" t="str">
        <f t="shared" si="5"/>
        <v>Normal</v>
      </c>
    </row>
    <row r="358" spans="1:13" x14ac:dyDescent="0.3">
      <c r="A358" s="3">
        <v>44920.575821759259</v>
      </c>
      <c r="B358">
        <v>-64.809972065792607</v>
      </c>
      <c r="C358">
        <v>16.750780112827101</v>
      </c>
      <c r="D358">
        <v>554.15003216299601</v>
      </c>
      <c r="E358" s="1" t="s">
        <v>14</v>
      </c>
      <c r="F358">
        <v>4.8336667993857603</v>
      </c>
      <c r="G358">
        <v>7.8118732903488999</v>
      </c>
      <c r="H358">
        <v>5</v>
      </c>
      <c r="I358">
        <v>17</v>
      </c>
      <c r="J358" s="1" t="s">
        <v>15</v>
      </c>
      <c r="K358" s="1" t="s">
        <v>13</v>
      </c>
      <c r="L358" t="str" cm="1">
        <f t="array" ref="L358">_xlfn.IFS(B358&gt;-80,"Excellent",B358&gt;-95,"Good",B358&gt;-110,"Fair",  TRUE,"Poor")</f>
        <v>Excellent</v>
      </c>
      <c r="M358" s="1" t="str">
        <f t="shared" si="5"/>
        <v>Normal</v>
      </c>
    </row>
    <row r="359" spans="1:13" x14ac:dyDescent="0.3">
      <c r="A359" s="3">
        <v>44921.43204861111</v>
      </c>
      <c r="B359">
        <v>-57.155934075970499</v>
      </c>
      <c r="C359">
        <v>13.959885452008001</v>
      </c>
      <c r="D359">
        <v>1474.72704713913</v>
      </c>
      <c r="E359" s="1" t="s">
        <v>16</v>
      </c>
      <c r="F359">
        <v>2.93377806986414</v>
      </c>
      <c r="G359">
        <v>2.0595678646666999</v>
      </c>
      <c r="H359">
        <v>9</v>
      </c>
      <c r="I359">
        <v>54</v>
      </c>
      <c r="J359" s="1" t="s">
        <v>15</v>
      </c>
      <c r="K359" s="1" t="s">
        <v>13</v>
      </c>
      <c r="L359" t="str" cm="1">
        <f t="array" ref="L359">_xlfn.IFS(B359&gt;-80,"Excellent",B359&gt;-95,"Good",B359&gt;-110,"Fair",  TRUE,"Poor")</f>
        <v>Excellent</v>
      </c>
      <c r="M359" s="1" t="str">
        <f t="shared" si="5"/>
        <v>Normal</v>
      </c>
    </row>
    <row r="360" spans="1:13" x14ac:dyDescent="0.3">
      <c r="A360" s="3">
        <v>44922.889699074076</v>
      </c>
      <c r="B360">
        <v>-61.461306833424203</v>
      </c>
      <c r="C360">
        <v>25.836444237179499</v>
      </c>
      <c r="D360">
        <v>324.43364212341402</v>
      </c>
      <c r="E360" s="1" t="s">
        <v>14</v>
      </c>
      <c r="F360">
        <v>1.94269093097868</v>
      </c>
      <c r="G360">
        <v>2.60016564102119</v>
      </c>
      <c r="H360">
        <v>6</v>
      </c>
      <c r="I360">
        <v>10</v>
      </c>
      <c r="J360" s="1" t="s">
        <v>12</v>
      </c>
      <c r="K360" s="1" t="s">
        <v>17</v>
      </c>
      <c r="L360" t="str" cm="1">
        <f t="array" ref="L360">_xlfn.IFS(B360&gt;-80,"Excellent",B360&gt;-95,"Good",B360&gt;-110,"Fair",  TRUE,"Poor")</f>
        <v>Excellent</v>
      </c>
      <c r="M360" s="1" t="str">
        <f t="shared" si="5"/>
        <v>Normal</v>
      </c>
    </row>
    <row r="361" spans="1:13" x14ac:dyDescent="0.3">
      <c r="A361" s="3">
        <v>44923.452037037037</v>
      </c>
      <c r="B361">
        <v>-99.142211945167006</v>
      </c>
      <c r="C361">
        <v>29.4788158591832</v>
      </c>
      <c r="D361">
        <v>495.05347689365902</v>
      </c>
      <c r="E361" s="1" t="s">
        <v>18</v>
      </c>
      <c r="F361">
        <v>5.5228634996239601</v>
      </c>
      <c r="G361">
        <v>9.3353781644956992</v>
      </c>
      <c r="H361">
        <v>9</v>
      </c>
      <c r="I361">
        <v>83</v>
      </c>
      <c r="J361" s="1" t="s">
        <v>12</v>
      </c>
      <c r="K361" s="1" t="s">
        <v>17</v>
      </c>
      <c r="L361" t="str" cm="1">
        <f t="array" ref="L361">_xlfn.IFS(B361&gt;-80,"Excellent",B361&gt;-95,"Good",B361&gt;-110,"Fair",  TRUE,"Poor")</f>
        <v>Fair</v>
      </c>
      <c r="M361" s="1" t="str">
        <f t="shared" si="5"/>
        <v>Normal</v>
      </c>
    </row>
    <row r="362" spans="1:13" x14ac:dyDescent="0.3">
      <c r="A362" s="3">
        <v>44924.477106481485</v>
      </c>
      <c r="B362">
        <v>-84.158888485715593</v>
      </c>
      <c r="C362">
        <v>27.514472260370301</v>
      </c>
      <c r="D362">
        <v>749.89246237131204</v>
      </c>
      <c r="E362" s="1" t="s">
        <v>16</v>
      </c>
      <c r="F362">
        <v>2.0513141438908198</v>
      </c>
      <c r="G362">
        <v>1.3580557072645401</v>
      </c>
      <c r="H362">
        <v>6</v>
      </c>
      <c r="I362">
        <v>56</v>
      </c>
      <c r="J362" s="1" t="s">
        <v>12</v>
      </c>
      <c r="K362" s="1" t="s">
        <v>17</v>
      </c>
      <c r="L362" t="str" cm="1">
        <f t="array" ref="L362">_xlfn.IFS(B362&gt;-80,"Excellent",B362&gt;-95,"Good",B362&gt;-110,"Fair",  TRUE,"Poor")</f>
        <v>Good</v>
      </c>
      <c r="M362" s="1" t="str">
        <f t="shared" si="5"/>
        <v>Normal</v>
      </c>
    </row>
    <row r="363" spans="1:13" x14ac:dyDescent="0.3">
      <c r="A363" s="3">
        <v>44925.967800925922</v>
      </c>
      <c r="B363">
        <v>-76.354874774158901</v>
      </c>
      <c r="C363">
        <v>16.254858256601299</v>
      </c>
      <c r="D363">
        <v>845.84796304607596</v>
      </c>
      <c r="E363" s="1" t="s">
        <v>11</v>
      </c>
      <c r="F363">
        <v>8.6734930077482293</v>
      </c>
      <c r="G363">
        <v>9.5760396591500108</v>
      </c>
      <c r="H363">
        <v>5</v>
      </c>
      <c r="I363">
        <v>11</v>
      </c>
      <c r="J363" s="1" t="s">
        <v>12</v>
      </c>
      <c r="K363" s="1" t="s">
        <v>17</v>
      </c>
      <c r="L363" t="str" cm="1">
        <f t="array" ref="L363">_xlfn.IFS(B363&gt;-80,"Excellent",B363&gt;-95,"Good",B363&gt;-110,"Fair",  TRUE,"Poor")</f>
        <v>Excellent</v>
      </c>
      <c r="M363" s="1" t="str">
        <f t="shared" si="5"/>
        <v>Normal</v>
      </c>
    </row>
    <row r="364" spans="1:13" x14ac:dyDescent="0.3">
      <c r="A364" s="3">
        <v>44926.943460648145</v>
      </c>
      <c r="B364">
        <v>-72.253225982908404</v>
      </c>
      <c r="C364">
        <v>28.000979759106698</v>
      </c>
      <c r="D364">
        <v>693.72632176777699</v>
      </c>
      <c r="E364" s="1" t="s">
        <v>11</v>
      </c>
      <c r="F364">
        <v>6.3423971351017903</v>
      </c>
      <c r="G364">
        <v>5.9882706937685404</v>
      </c>
      <c r="H364">
        <v>6</v>
      </c>
      <c r="I364">
        <v>33</v>
      </c>
      <c r="J364" s="1" t="s">
        <v>15</v>
      </c>
      <c r="K364" s="1" t="s">
        <v>17</v>
      </c>
      <c r="L364" t="str" cm="1">
        <f t="array" ref="L364">_xlfn.IFS(B364&gt;-80,"Excellent",B364&gt;-95,"Good",B364&gt;-110,"Fair",  TRUE,"Poor")</f>
        <v>Excellent</v>
      </c>
      <c r="M364" s="1" t="str">
        <f t="shared" si="5"/>
        <v>Normal</v>
      </c>
    </row>
    <row r="365" spans="1:13" x14ac:dyDescent="0.3">
      <c r="A365" s="3">
        <v>44562.813900462963</v>
      </c>
      <c r="B365">
        <v>-75.205270459085</v>
      </c>
      <c r="C365">
        <v>29.961826867463</v>
      </c>
      <c r="D365">
        <v>1041.90207512596</v>
      </c>
      <c r="E365" s="1" t="s">
        <v>16</v>
      </c>
      <c r="F365">
        <v>4.3004650701526304</v>
      </c>
      <c r="G365">
        <v>1.58455348655662</v>
      </c>
      <c r="H365">
        <v>8</v>
      </c>
      <c r="I365">
        <v>42</v>
      </c>
      <c r="J365" s="1" t="s">
        <v>12</v>
      </c>
      <c r="K365" s="1" t="s">
        <v>13</v>
      </c>
      <c r="L365" t="str" cm="1">
        <f t="array" ref="L365">_xlfn.IFS(B365&gt;-80,"Excellent",B365&gt;-95,"Good",B365&gt;-110,"Fair",  TRUE,"Poor")</f>
        <v>Excellent</v>
      </c>
      <c r="M365" s="1" t="str">
        <f t="shared" si="5"/>
        <v>Normal</v>
      </c>
    </row>
    <row r="366" spans="1:13" x14ac:dyDescent="0.3">
      <c r="A366" s="3">
        <v>44563.679594907408</v>
      </c>
      <c r="B366">
        <v>-65.700173616188493</v>
      </c>
      <c r="C366">
        <v>27.857896338945299</v>
      </c>
      <c r="D366">
        <v>1274.65549472674</v>
      </c>
      <c r="E366" s="1" t="s">
        <v>16</v>
      </c>
      <c r="F366">
        <v>4.7680666019671802</v>
      </c>
      <c r="G366">
        <v>0.68650633712584896</v>
      </c>
      <c r="H366">
        <v>5</v>
      </c>
      <c r="I366">
        <v>25</v>
      </c>
      <c r="J366" s="1" t="s">
        <v>12</v>
      </c>
      <c r="K366" s="1" t="s">
        <v>13</v>
      </c>
      <c r="L366" t="str" cm="1">
        <f t="array" ref="L366">_xlfn.IFS(B366&gt;-80,"Excellent",B366&gt;-95,"Good",B366&gt;-110,"Fair",  TRUE,"Poor")</f>
        <v>Excellent</v>
      </c>
      <c r="M366" s="1" t="str">
        <f t="shared" si="5"/>
        <v>Normal</v>
      </c>
    </row>
    <row r="367" spans="1:13" x14ac:dyDescent="0.3">
      <c r="A367" s="3">
        <v>44564.684363425928</v>
      </c>
      <c r="B367">
        <v>-105.743858106942</v>
      </c>
      <c r="C367">
        <v>12.202887826416699</v>
      </c>
      <c r="D367">
        <v>871.02827333898495</v>
      </c>
      <c r="E367" s="1" t="s">
        <v>16</v>
      </c>
      <c r="F367">
        <v>4.2169032227588401</v>
      </c>
      <c r="G367">
        <v>2.6452133397322499</v>
      </c>
      <c r="H367">
        <v>5</v>
      </c>
      <c r="I367">
        <v>38</v>
      </c>
      <c r="J367" s="1" t="s">
        <v>15</v>
      </c>
      <c r="K367" s="1" t="s">
        <v>17</v>
      </c>
      <c r="L367" t="str" cm="1">
        <f t="array" ref="L367">_xlfn.IFS(B367&gt;-80,"Excellent",B367&gt;-95,"Good",B367&gt;-110,"Fair",  TRUE,"Poor")</f>
        <v>Fair</v>
      </c>
      <c r="M367" s="1" t="str">
        <f t="shared" si="5"/>
        <v>Normal</v>
      </c>
    </row>
    <row r="368" spans="1:13" x14ac:dyDescent="0.3">
      <c r="A368" s="3">
        <v>44565.705960648149</v>
      </c>
      <c r="B368">
        <v>-83.8115845397584</v>
      </c>
      <c r="C368">
        <v>18.328766693384299</v>
      </c>
      <c r="D368">
        <v>910.509883534457</v>
      </c>
      <c r="E368" s="1" t="s">
        <v>18</v>
      </c>
      <c r="F368">
        <v>4.9711388742445903</v>
      </c>
      <c r="G368">
        <v>7.1111675495312193E-2</v>
      </c>
      <c r="H368">
        <v>1</v>
      </c>
      <c r="I368">
        <v>75</v>
      </c>
      <c r="J368" s="1" t="s">
        <v>12</v>
      </c>
      <c r="K368" s="1" t="s">
        <v>13</v>
      </c>
      <c r="L368" t="str" cm="1">
        <f t="array" ref="L368">_xlfn.IFS(B368&gt;-80,"Excellent",B368&gt;-95,"Good",B368&gt;-110,"Fair",  TRUE,"Poor")</f>
        <v>Good</v>
      </c>
      <c r="M368" s="1" t="str">
        <f t="shared" si="5"/>
        <v>Normal</v>
      </c>
    </row>
    <row r="369" spans="1:13" x14ac:dyDescent="0.3">
      <c r="A369" s="3">
        <v>44566.68173611111</v>
      </c>
      <c r="B369">
        <v>-88.143408808330406</v>
      </c>
      <c r="C369">
        <v>15.7804367875571</v>
      </c>
      <c r="D369">
        <v>1487.77377458764</v>
      </c>
      <c r="E369" s="1" t="s">
        <v>11</v>
      </c>
      <c r="F369">
        <v>7.3864616761841404</v>
      </c>
      <c r="G369">
        <v>2.4510683942384799</v>
      </c>
      <c r="H369">
        <v>5</v>
      </c>
      <c r="I369">
        <v>57</v>
      </c>
      <c r="J369" s="1" t="s">
        <v>12</v>
      </c>
      <c r="K369" s="1" t="s">
        <v>13</v>
      </c>
      <c r="L369" t="str" cm="1">
        <f t="array" ref="L369">_xlfn.IFS(B369&gt;-80,"Excellent",B369&gt;-95,"Good",B369&gt;-110,"Fair",  TRUE,"Poor")</f>
        <v>Good</v>
      </c>
      <c r="M369" s="1" t="str">
        <f t="shared" si="5"/>
        <v>Normal</v>
      </c>
    </row>
    <row r="370" spans="1:13" x14ac:dyDescent="0.3">
      <c r="A370" s="3">
        <v>44567.639374999999</v>
      </c>
      <c r="B370">
        <v>-97.870099807465394</v>
      </c>
      <c r="C370">
        <v>23.811294095834601</v>
      </c>
      <c r="D370">
        <v>604.29298006036504</v>
      </c>
      <c r="E370" s="1" t="s">
        <v>14</v>
      </c>
      <c r="F370">
        <v>1.9426306689642701</v>
      </c>
      <c r="G370">
        <v>7.1379868054259896</v>
      </c>
      <c r="H370">
        <v>4</v>
      </c>
      <c r="I370">
        <v>18</v>
      </c>
      <c r="J370" s="1" t="s">
        <v>12</v>
      </c>
      <c r="K370" s="1" t="s">
        <v>13</v>
      </c>
      <c r="L370" t="str" cm="1">
        <f t="array" ref="L370">_xlfn.IFS(B370&gt;-80,"Excellent",B370&gt;-95,"Good",B370&gt;-110,"Fair",  TRUE,"Poor")</f>
        <v>Fair</v>
      </c>
      <c r="M370" s="1" t="str">
        <f t="shared" si="5"/>
        <v>Normal</v>
      </c>
    </row>
    <row r="371" spans="1:13" x14ac:dyDescent="0.3">
      <c r="A371" s="3">
        <v>44568.931597222225</v>
      </c>
      <c r="B371">
        <v>-83.753217523701693</v>
      </c>
      <c r="C371">
        <v>16.082385705467001</v>
      </c>
      <c r="D371">
        <v>168.033906921659</v>
      </c>
      <c r="E371" s="1" t="s">
        <v>16</v>
      </c>
      <c r="F371">
        <v>4.5153013605929004</v>
      </c>
      <c r="G371">
        <v>3.5655085251954</v>
      </c>
      <c r="H371">
        <v>2</v>
      </c>
      <c r="I371">
        <v>83</v>
      </c>
      <c r="J371" s="1" t="s">
        <v>12</v>
      </c>
      <c r="K371" s="1" t="s">
        <v>17</v>
      </c>
      <c r="L371" t="str" cm="1">
        <f t="array" ref="L371">_xlfn.IFS(B371&gt;-80,"Excellent",B371&gt;-95,"Good",B371&gt;-110,"Fair",  TRUE,"Poor")</f>
        <v>Good</v>
      </c>
      <c r="M371" s="1" t="str">
        <f t="shared" si="5"/>
        <v>Normal</v>
      </c>
    </row>
    <row r="372" spans="1:13" x14ac:dyDescent="0.3">
      <c r="A372" s="3">
        <v>44569.982581018521</v>
      </c>
      <c r="B372">
        <v>-95.547265906666993</v>
      </c>
      <c r="C372">
        <v>28.157038060753901</v>
      </c>
      <c r="D372">
        <v>1439.79209607759</v>
      </c>
      <c r="E372" s="1" t="s">
        <v>16</v>
      </c>
      <c r="F372">
        <v>1.9769245378887099</v>
      </c>
      <c r="G372">
        <v>2.6470309163810599</v>
      </c>
      <c r="H372">
        <v>4</v>
      </c>
      <c r="I372">
        <v>3</v>
      </c>
      <c r="J372" s="1" t="s">
        <v>15</v>
      </c>
      <c r="K372" s="1" t="s">
        <v>13</v>
      </c>
      <c r="L372" t="str" cm="1">
        <f t="array" ref="L372">_xlfn.IFS(B372&gt;-80,"Excellent",B372&gt;-95,"Good",B372&gt;-110,"Fair",  TRUE,"Poor")</f>
        <v>Fair</v>
      </c>
      <c r="M372" s="1" t="str">
        <f t="shared" si="5"/>
        <v>Normal</v>
      </c>
    </row>
    <row r="373" spans="1:13" x14ac:dyDescent="0.3">
      <c r="A373" s="3">
        <v>44570.666886574072</v>
      </c>
      <c r="B373">
        <v>-94.891420922173396</v>
      </c>
      <c r="C373">
        <v>18.408588626322199</v>
      </c>
      <c r="D373">
        <v>1674.71469107605</v>
      </c>
      <c r="E373" s="1" t="s">
        <v>14</v>
      </c>
      <c r="F373">
        <v>5.5419405591974202</v>
      </c>
      <c r="G373">
        <v>7.5170947391688099</v>
      </c>
      <c r="H373">
        <v>2</v>
      </c>
      <c r="I373">
        <v>46</v>
      </c>
      <c r="J373" s="1" t="s">
        <v>12</v>
      </c>
      <c r="K373" s="1" t="s">
        <v>17</v>
      </c>
      <c r="L373" t="str" cm="1">
        <f t="array" ref="L373">_xlfn.IFS(B373&gt;-80,"Excellent",B373&gt;-95,"Good",B373&gt;-110,"Fair",  TRUE,"Poor")</f>
        <v>Good</v>
      </c>
      <c r="M373" s="1" t="str">
        <f t="shared" si="5"/>
        <v>Normal</v>
      </c>
    </row>
    <row r="374" spans="1:13" x14ac:dyDescent="0.3">
      <c r="A374" s="3">
        <v>44571.948252314818</v>
      </c>
      <c r="B374">
        <v>-80.302784618774496</v>
      </c>
      <c r="C374">
        <v>20.6863020958356</v>
      </c>
      <c r="D374">
        <v>78.339648761741699</v>
      </c>
      <c r="E374" s="1" t="s">
        <v>14</v>
      </c>
      <c r="F374">
        <v>8.6437184551098092</v>
      </c>
      <c r="G374">
        <v>7.97413955954244</v>
      </c>
      <c r="H374">
        <v>6</v>
      </c>
      <c r="I374">
        <v>46</v>
      </c>
      <c r="J374" s="1" t="s">
        <v>15</v>
      </c>
      <c r="K374" s="1" t="s">
        <v>17</v>
      </c>
      <c r="L374" t="str" cm="1">
        <f t="array" ref="L374">_xlfn.IFS(B374&gt;-80,"Excellent",B374&gt;-95,"Good",B374&gt;-110,"Fair",  TRUE,"Poor")</f>
        <v>Good</v>
      </c>
      <c r="M374" s="1" t="str">
        <f t="shared" si="5"/>
        <v>Normal</v>
      </c>
    </row>
    <row r="375" spans="1:13" x14ac:dyDescent="0.3">
      <c r="A375" s="3">
        <v>44572.643807870372</v>
      </c>
      <c r="B375">
        <v>-109.17744839861101</v>
      </c>
      <c r="C375">
        <v>14.1094401870541</v>
      </c>
      <c r="D375">
        <v>1055.3833654804901</v>
      </c>
      <c r="E375" s="1" t="s">
        <v>11</v>
      </c>
      <c r="F375">
        <v>9.7710680857656609</v>
      </c>
      <c r="G375">
        <v>5.9473190725161196</v>
      </c>
      <c r="H375">
        <v>7</v>
      </c>
      <c r="I375">
        <v>30</v>
      </c>
      <c r="J375" s="1" t="s">
        <v>15</v>
      </c>
      <c r="K375" s="1" t="s">
        <v>13</v>
      </c>
      <c r="L375" t="str" cm="1">
        <f t="array" ref="L375">_xlfn.IFS(B375&gt;-80,"Excellent",B375&gt;-95,"Good",B375&gt;-110,"Fair",  TRUE,"Poor")</f>
        <v>Fair</v>
      </c>
      <c r="M375" s="1" t="str">
        <f t="shared" si="5"/>
        <v>Normal</v>
      </c>
    </row>
    <row r="376" spans="1:13" x14ac:dyDescent="0.3">
      <c r="A376" s="3">
        <v>44573.478206018517</v>
      </c>
      <c r="B376">
        <v>-79.743760589819303</v>
      </c>
      <c r="C376">
        <v>28.2231615467133</v>
      </c>
      <c r="D376">
        <v>120.452952878123</v>
      </c>
      <c r="E376" s="1" t="s">
        <v>11</v>
      </c>
      <c r="F376">
        <v>13.1221607758308</v>
      </c>
      <c r="G376">
        <v>8.1372961802642294</v>
      </c>
      <c r="H376">
        <v>10</v>
      </c>
      <c r="I376">
        <v>45</v>
      </c>
      <c r="J376" s="1" t="s">
        <v>12</v>
      </c>
      <c r="K376" s="1" t="s">
        <v>17</v>
      </c>
      <c r="L376" t="str" cm="1">
        <f t="array" ref="L376">_xlfn.IFS(B376&gt;-80,"Excellent",B376&gt;-95,"Good",B376&gt;-110,"Fair",  TRUE,"Poor")</f>
        <v>Excellent</v>
      </c>
      <c r="M376" s="1" t="str">
        <f t="shared" si="5"/>
        <v>High Loss</v>
      </c>
    </row>
    <row r="377" spans="1:13" x14ac:dyDescent="0.3">
      <c r="A377" s="3">
        <v>44574.6093287037</v>
      </c>
      <c r="B377">
        <v>-59.435190047011197</v>
      </c>
      <c r="C377">
        <v>14.297011374129699</v>
      </c>
      <c r="D377">
        <v>1763.5035311357201</v>
      </c>
      <c r="E377" s="1" t="s">
        <v>16</v>
      </c>
      <c r="F377">
        <v>2.8193908880220402</v>
      </c>
      <c r="G377">
        <v>2.3896735221441801</v>
      </c>
      <c r="H377">
        <v>5</v>
      </c>
      <c r="I377">
        <v>56</v>
      </c>
      <c r="J377" s="1" t="s">
        <v>12</v>
      </c>
      <c r="K377" s="1" t="s">
        <v>17</v>
      </c>
      <c r="L377" t="str" cm="1">
        <f t="array" ref="L377">_xlfn.IFS(B377&gt;-80,"Excellent",B377&gt;-95,"Good",B377&gt;-110,"Fair",  TRUE,"Poor")</f>
        <v>Excellent</v>
      </c>
      <c r="M377" s="1" t="str">
        <f t="shared" si="5"/>
        <v>Normal</v>
      </c>
    </row>
    <row r="378" spans="1:13" x14ac:dyDescent="0.3">
      <c r="A378" s="3">
        <v>44575.656967592593</v>
      </c>
      <c r="B378">
        <v>-77.918575957706594</v>
      </c>
      <c r="C378">
        <v>12.788558382354701</v>
      </c>
      <c r="D378">
        <v>669.66216479501202</v>
      </c>
      <c r="E378" s="1" t="s">
        <v>11</v>
      </c>
      <c r="F378">
        <v>6.9865246386795903</v>
      </c>
      <c r="G378">
        <v>9.1343985418727005</v>
      </c>
      <c r="H378">
        <v>6</v>
      </c>
      <c r="I378">
        <v>62</v>
      </c>
      <c r="J378" s="1" t="s">
        <v>12</v>
      </c>
      <c r="K378" s="1" t="s">
        <v>17</v>
      </c>
      <c r="L378" t="str" cm="1">
        <f t="array" ref="L378">_xlfn.IFS(B378&gt;-80,"Excellent",B378&gt;-95,"Good",B378&gt;-110,"Fair",  TRUE,"Poor")</f>
        <v>Excellent</v>
      </c>
      <c r="M378" s="1" t="str">
        <f t="shared" si="5"/>
        <v>Normal</v>
      </c>
    </row>
    <row r="379" spans="1:13" x14ac:dyDescent="0.3">
      <c r="A379" s="3">
        <v>44576.97111111111</v>
      </c>
      <c r="B379">
        <v>-69.412185275418196</v>
      </c>
      <c r="C379">
        <v>15.506797100993399</v>
      </c>
      <c r="D379">
        <v>792.24986255669501</v>
      </c>
      <c r="E379" s="1" t="s">
        <v>14</v>
      </c>
      <c r="F379">
        <v>7.1141394092688097</v>
      </c>
      <c r="G379">
        <v>6.7094153362861899</v>
      </c>
      <c r="H379">
        <v>8</v>
      </c>
      <c r="I379">
        <v>9</v>
      </c>
      <c r="J379" s="1" t="s">
        <v>15</v>
      </c>
      <c r="K379" s="1" t="s">
        <v>13</v>
      </c>
      <c r="L379" t="str" cm="1">
        <f t="array" ref="L379">_xlfn.IFS(B379&gt;-80,"Excellent",B379&gt;-95,"Good",B379&gt;-110,"Fair",  TRUE,"Poor")</f>
        <v>Excellent</v>
      </c>
      <c r="M379" s="1" t="str">
        <f t="shared" si="5"/>
        <v>Normal</v>
      </c>
    </row>
    <row r="380" spans="1:13" x14ac:dyDescent="0.3">
      <c r="A380" s="3">
        <v>44577.448391203703</v>
      </c>
      <c r="B380">
        <v>-94.904836022990295</v>
      </c>
      <c r="C380">
        <v>18.189532700997201</v>
      </c>
      <c r="D380">
        <v>554.15548990528305</v>
      </c>
      <c r="E380" s="1" t="s">
        <v>18</v>
      </c>
      <c r="F380">
        <v>3.0339868329130599</v>
      </c>
      <c r="G380">
        <v>0.82883492797753799</v>
      </c>
      <c r="H380">
        <v>7</v>
      </c>
      <c r="I380">
        <v>55</v>
      </c>
      <c r="J380" s="1" t="s">
        <v>15</v>
      </c>
      <c r="K380" s="1" t="s">
        <v>13</v>
      </c>
      <c r="L380" t="str" cm="1">
        <f t="array" ref="L380">_xlfn.IFS(B380&gt;-80,"Excellent",B380&gt;-95,"Good",B380&gt;-110,"Fair",  TRUE,"Poor")</f>
        <v>Good</v>
      </c>
      <c r="M380" s="1" t="str">
        <f t="shared" si="5"/>
        <v>Normal</v>
      </c>
    </row>
    <row r="381" spans="1:13" x14ac:dyDescent="0.3">
      <c r="A381" s="3">
        <v>44578.711909722224</v>
      </c>
      <c r="B381">
        <v>-74.857234262207399</v>
      </c>
      <c r="C381">
        <v>23.856290324821199</v>
      </c>
      <c r="D381">
        <v>192.924710157985</v>
      </c>
      <c r="E381" s="1" t="s">
        <v>11</v>
      </c>
      <c r="F381">
        <v>11.9809492813819</v>
      </c>
      <c r="G381">
        <v>9.8184369294205993</v>
      </c>
      <c r="H381">
        <v>1</v>
      </c>
      <c r="I381">
        <v>50</v>
      </c>
      <c r="J381" s="1" t="s">
        <v>12</v>
      </c>
      <c r="K381" s="1" t="s">
        <v>17</v>
      </c>
      <c r="L381" t="str" cm="1">
        <f t="array" ref="L381">_xlfn.IFS(B381&gt;-80,"Excellent",B381&gt;-95,"Good",B381&gt;-110,"Fair",  TRUE,"Poor")</f>
        <v>Excellent</v>
      </c>
      <c r="M381" s="1" t="str">
        <f t="shared" si="5"/>
        <v>High Loss</v>
      </c>
    </row>
    <row r="382" spans="1:13" x14ac:dyDescent="0.3">
      <c r="A382" s="3">
        <v>44579.545810185184</v>
      </c>
      <c r="B382">
        <v>-86.628769202077805</v>
      </c>
      <c r="C382">
        <v>20.309612766163301</v>
      </c>
      <c r="D382">
        <v>580.70368164433603</v>
      </c>
      <c r="E382" s="1" t="s">
        <v>18</v>
      </c>
      <c r="F382">
        <v>2.3673499130925499</v>
      </c>
      <c r="G382">
        <v>6.4833578729781403</v>
      </c>
      <c r="H382">
        <v>5</v>
      </c>
      <c r="I382">
        <v>42</v>
      </c>
      <c r="J382" s="1" t="s">
        <v>12</v>
      </c>
      <c r="K382" s="1" t="s">
        <v>17</v>
      </c>
      <c r="L382" t="str" cm="1">
        <f t="array" ref="L382">_xlfn.IFS(B382&gt;-80,"Excellent",B382&gt;-95,"Good",B382&gt;-110,"Fair",  TRUE,"Poor")</f>
        <v>Good</v>
      </c>
      <c r="M382" s="1" t="str">
        <f t="shared" si="5"/>
        <v>Normal</v>
      </c>
    </row>
    <row r="383" spans="1:13" x14ac:dyDescent="0.3">
      <c r="A383" s="3">
        <v>44580.682523148149</v>
      </c>
      <c r="B383">
        <v>-103.18654358091101</v>
      </c>
      <c r="C383">
        <v>29.192171210077401</v>
      </c>
      <c r="D383">
        <v>734.83120960995996</v>
      </c>
      <c r="E383" s="1" t="s">
        <v>18</v>
      </c>
      <c r="F383">
        <v>2.03532017533793</v>
      </c>
      <c r="G383">
        <v>2.9694619318035098</v>
      </c>
      <c r="H383">
        <v>10</v>
      </c>
      <c r="I383">
        <v>91</v>
      </c>
      <c r="J383" s="1" t="s">
        <v>12</v>
      </c>
      <c r="K383" s="1" t="s">
        <v>13</v>
      </c>
      <c r="L383" t="str" cm="1">
        <f t="array" ref="L383">_xlfn.IFS(B383&gt;-80,"Excellent",B383&gt;-95,"Good",B383&gt;-110,"Fair",  TRUE,"Poor")</f>
        <v>Fair</v>
      </c>
      <c r="M383" s="1" t="str">
        <f t="shared" si="5"/>
        <v>Normal</v>
      </c>
    </row>
    <row r="384" spans="1:13" x14ac:dyDescent="0.3">
      <c r="A384" s="3">
        <v>44581.950416666667</v>
      </c>
      <c r="B384">
        <v>-73.132304249092499</v>
      </c>
      <c r="C384">
        <v>13.8010285867907</v>
      </c>
      <c r="D384">
        <v>1684.1336549940299</v>
      </c>
      <c r="E384" s="1" t="s">
        <v>16</v>
      </c>
      <c r="F384">
        <v>1.6335627636672201</v>
      </c>
      <c r="G384">
        <v>4.7037846147680202</v>
      </c>
      <c r="H384">
        <v>10</v>
      </c>
      <c r="I384">
        <v>80</v>
      </c>
      <c r="J384" s="1" t="s">
        <v>12</v>
      </c>
      <c r="K384" s="1" t="s">
        <v>17</v>
      </c>
      <c r="L384" t="str" cm="1">
        <f t="array" ref="L384">_xlfn.IFS(B384&gt;-80,"Excellent",B384&gt;-95,"Good",B384&gt;-110,"Fair",  TRUE,"Poor")</f>
        <v>Excellent</v>
      </c>
      <c r="M384" s="1" t="str">
        <f t="shared" si="5"/>
        <v>Normal</v>
      </c>
    </row>
    <row r="385" spans="1:13" x14ac:dyDescent="0.3">
      <c r="A385" s="3">
        <v>44582.399733796294</v>
      </c>
      <c r="B385">
        <v>-68.219083656235199</v>
      </c>
      <c r="C385">
        <v>23.082588053642802</v>
      </c>
      <c r="D385">
        <v>890.38741363455995</v>
      </c>
      <c r="E385" s="1" t="s">
        <v>16</v>
      </c>
      <c r="F385">
        <v>4.9903630580725098</v>
      </c>
      <c r="G385">
        <v>2.0532321119623198</v>
      </c>
      <c r="H385">
        <v>1</v>
      </c>
      <c r="I385">
        <v>30</v>
      </c>
      <c r="J385" s="1" t="s">
        <v>15</v>
      </c>
      <c r="K385" s="1" t="s">
        <v>17</v>
      </c>
      <c r="L385" t="str" cm="1">
        <f t="array" ref="L385">_xlfn.IFS(B385&gt;-80,"Excellent",B385&gt;-95,"Good",B385&gt;-110,"Fair",  TRUE,"Poor")</f>
        <v>Excellent</v>
      </c>
      <c r="M385" s="1" t="str">
        <f t="shared" si="5"/>
        <v>Normal</v>
      </c>
    </row>
    <row r="386" spans="1:13" x14ac:dyDescent="0.3">
      <c r="A386" s="3">
        <v>44583.794247685182</v>
      </c>
      <c r="B386">
        <v>-86.295854250444094</v>
      </c>
      <c r="C386">
        <v>16.177975848237001</v>
      </c>
      <c r="D386">
        <v>433.12416628462103</v>
      </c>
      <c r="E386" s="1" t="s">
        <v>14</v>
      </c>
      <c r="F386">
        <v>2.9329347058064998</v>
      </c>
      <c r="G386">
        <v>6.3938428025128999</v>
      </c>
      <c r="H386">
        <v>3</v>
      </c>
      <c r="I386">
        <v>76</v>
      </c>
      <c r="J386" s="1" t="s">
        <v>12</v>
      </c>
      <c r="K386" s="1" t="s">
        <v>13</v>
      </c>
      <c r="L386" t="str" cm="1">
        <f t="array" ref="L386">_xlfn.IFS(B386&gt;-80,"Excellent",B386&gt;-95,"Good",B386&gt;-110,"Fair",  TRUE,"Poor")</f>
        <v>Good</v>
      </c>
      <c r="M386" s="1" t="str">
        <f t="shared" si="5"/>
        <v>Normal</v>
      </c>
    </row>
    <row r="387" spans="1:13" x14ac:dyDescent="0.3">
      <c r="A387" s="3">
        <v>44584.730810185189</v>
      </c>
      <c r="B387">
        <v>-90.535654898727898</v>
      </c>
      <c r="C387">
        <v>21.876693288496099</v>
      </c>
      <c r="D387">
        <v>30.671304631699101</v>
      </c>
      <c r="E387" s="1" t="s">
        <v>18</v>
      </c>
      <c r="F387">
        <v>7.7537698310075598</v>
      </c>
      <c r="G387">
        <v>5.3322232161726699</v>
      </c>
      <c r="H387">
        <v>3</v>
      </c>
      <c r="I387">
        <v>81</v>
      </c>
      <c r="J387" s="1" t="s">
        <v>12</v>
      </c>
      <c r="K387" s="1" t="s">
        <v>17</v>
      </c>
      <c r="L387" t="str" cm="1">
        <f t="array" ref="L387">_xlfn.IFS(B387&gt;-80,"Excellent",B387&gt;-95,"Good",B387&gt;-110,"Fair",  TRUE,"Poor")</f>
        <v>Good</v>
      </c>
      <c r="M387" s="1" t="str">
        <f t="shared" ref="M387:M450" si="6">IF(F387&gt;10,"High Loss","Normal")</f>
        <v>Normal</v>
      </c>
    </row>
    <row r="388" spans="1:13" x14ac:dyDescent="0.3">
      <c r="A388" s="3">
        <v>44585.785787037035</v>
      </c>
      <c r="B388">
        <v>-105.28338719926199</v>
      </c>
      <c r="C388">
        <v>25.643445426600302</v>
      </c>
      <c r="D388">
        <v>923.77716443486804</v>
      </c>
      <c r="E388" s="1" t="s">
        <v>11</v>
      </c>
      <c r="F388">
        <v>11.664580535088</v>
      </c>
      <c r="G388">
        <v>8.7012918372036197</v>
      </c>
      <c r="H388">
        <v>2</v>
      </c>
      <c r="I388">
        <v>25</v>
      </c>
      <c r="J388" s="1" t="s">
        <v>15</v>
      </c>
      <c r="K388" s="1" t="s">
        <v>17</v>
      </c>
      <c r="L388" t="str" cm="1">
        <f t="array" ref="L388">_xlfn.IFS(B388&gt;-80,"Excellent",B388&gt;-95,"Good",B388&gt;-110,"Fair",  TRUE,"Poor")</f>
        <v>Fair</v>
      </c>
      <c r="M388" s="1" t="str">
        <f t="shared" si="6"/>
        <v>High Loss</v>
      </c>
    </row>
    <row r="389" spans="1:13" x14ac:dyDescent="0.3">
      <c r="A389" s="3">
        <v>44586.735243055555</v>
      </c>
      <c r="B389">
        <v>-66.734551345755804</v>
      </c>
      <c r="C389">
        <v>25.955576209347601</v>
      </c>
      <c r="D389">
        <v>156.095027890935</v>
      </c>
      <c r="E389" s="1" t="s">
        <v>18</v>
      </c>
      <c r="F389">
        <v>4.0515962871129796</v>
      </c>
      <c r="G389">
        <v>6.5551794649316797</v>
      </c>
      <c r="H389">
        <v>1</v>
      </c>
      <c r="I389">
        <v>2</v>
      </c>
      <c r="J389" s="1" t="s">
        <v>15</v>
      </c>
      <c r="K389" s="1" t="s">
        <v>13</v>
      </c>
      <c r="L389" t="str" cm="1">
        <f t="array" ref="L389">_xlfn.IFS(B389&gt;-80,"Excellent",B389&gt;-95,"Good",B389&gt;-110,"Fair",  TRUE,"Poor")</f>
        <v>Excellent</v>
      </c>
      <c r="M389" s="1" t="str">
        <f t="shared" si="6"/>
        <v>Normal</v>
      </c>
    </row>
    <row r="390" spans="1:13" x14ac:dyDescent="0.3">
      <c r="A390" s="3">
        <v>44587.395694444444</v>
      </c>
      <c r="B390">
        <v>-83.964511614985597</v>
      </c>
      <c r="C390">
        <v>13.8124317511696</v>
      </c>
      <c r="D390">
        <v>1408.02615826018</v>
      </c>
      <c r="E390" s="1" t="s">
        <v>18</v>
      </c>
      <c r="F390">
        <v>4.3049516685295099</v>
      </c>
      <c r="G390">
        <v>7.6557422313066601</v>
      </c>
      <c r="H390">
        <v>3</v>
      </c>
      <c r="I390">
        <v>75</v>
      </c>
      <c r="J390" s="1" t="s">
        <v>12</v>
      </c>
      <c r="K390" s="1" t="s">
        <v>17</v>
      </c>
      <c r="L390" t="str" cm="1">
        <f t="array" ref="L390">_xlfn.IFS(B390&gt;-80,"Excellent",B390&gt;-95,"Good",B390&gt;-110,"Fair",  TRUE,"Poor")</f>
        <v>Good</v>
      </c>
      <c r="M390" s="1" t="str">
        <f t="shared" si="6"/>
        <v>Normal</v>
      </c>
    </row>
    <row r="391" spans="1:13" x14ac:dyDescent="0.3">
      <c r="A391" s="3">
        <v>44588.466145833336</v>
      </c>
      <c r="B391">
        <v>-81.263350298930305</v>
      </c>
      <c r="C391">
        <v>22.435889792596601</v>
      </c>
      <c r="D391">
        <v>826.62096865270303</v>
      </c>
      <c r="E391" s="1" t="s">
        <v>11</v>
      </c>
      <c r="F391">
        <v>9.6257439660920294</v>
      </c>
      <c r="G391">
        <v>0.63314525803670696</v>
      </c>
      <c r="H391">
        <v>6</v>
      </c>
      <c r="I391">
        <v>70</v>
      </c>
      <c r="J391" s="1" t="s">
        <v>12</v>
      </c>
      <c r="K391" s="1" t="s">
        <v>17</v>
      </c>
      <c r="L391" t="str" cm="1">
        <f t="array" ref="L391">_xlfn.IFS(B391&gt;-80,"Excellent",B391&gt;-95,"Good",B391&gt;-110,"Fair",  TRUE,"Poor")</f>
        <v>Good</v>
      </c>
      <c r="M391" s="1" t="str">
        <f t="shared" si="6"/>
        <v>Normal</v>
      </c>
    </row>
    <row r="392" spans="1:13" x14ac:dyDescent="0.3">
      <c r="A392" s="3">
        <v>44589.788599537038</v>
      </c>
      <c r="B392">
        <v>-81.601686546599794</v>
      </c>
      <c r="C392">
        <v>18.289384480707099</v>
      </c>
      <c r="D392">
        <v>456.36965842149601</v>
      </c>
      <c r="E392" s="1" t="s">
        <v>14</v>
      </c>
      <c r="F392">
        <v>0.45424079109746501</v>
      </c>
      <c r="G392">
        <v>3.2624220551834902</v>
      </c>
      <c r="H392">
        <v>1</v>
      </c>
      <c r="I392">
        <v>87</v>
      </c>
      <c r="J392" s="1" t="s">
        <v>15</v>
      </c>
      <c r="K392" s="1" t="s">
        <v>13</v>
      </c>
      <c r="L392" t="str" cm="1">
        <f t="array" ref="L392">_xlfn.IFS(B392&gt;-80,"Excellent",B392&gt;-95,"Good",B392&gt;-110,"Fair",  TRUE,"Poor")</f>
        <v>Good</v>
      </c>
      <c r="M392" s="1" t="str">
        <f t="shared" si="6"/>
        <v>Normal</v>
      </c>
    </row>
    <row r="393" spans="1:13" x14ac:dyDescent="0.3">
      <c r="A393" s="3">
        <v>44590.771261574075</v>
      </c>
      <c r="B393">
        <v>-72.554891864135698</v>
      </c>
      <c r="C393">
        <v>20.256760535586899</v>
      </c>
      <c r="D393">
        <v>1676.51891161151</v>
      </c>
      <c r="E393" s="1" t="s">
        <v>16</v>
      </c>
      <c r="F393">
        <v>1.7731645972360699</v>
      </c>
      <c r="G393">
        <v>4.8022305697787901</v>
      </c>
      <c r="H393">
        <v>8</v>
      </c>
      <c r="I393">
        <v>23</v>
      </c>
      <c r="J393" s="1" t="s">
        <v>15</v>
      </c>
      <c r="K393" s="1" t="s">
        <v>17</v>
      </c>
      <c r="L393" t="str" cm="1">
        <f t="array" ref="L393">_xlfn.IFS(B393&gt;-80,"Excellent",B393&gt;-95,"Good",B393&gt;-110,"Fair",  TRUE,"Poor")</f>
        <v>Excellent</v>
      </c>
      <c r="M393" s="1" t="str">
        <f t="shared" si="6"/>
        <v>Normal</v>
      </c>
    </row>
    <row r="394" spans="1:13" x14ac:dyDescent="0.3">
      <c r="A394" s="3">
        <v>44591.400335648148</v>
      </c>
      <c r="B394">
        <v>-98.029357853937697</v>
      </c>
      <c r="C394">
        <v>20.858552074816501</v>
      </c>
      <c r="D394">
        <v>1201.0855686955199</v>
      </c>
      <c r="E394" s="1" t="s">
        <v>18</v>
      </c>
      <c r="F394">
        <v>2.7089718765492701</v>
      </c>
      <c r="G394">
        <v>5.0352575758380702</v>
      </c>
      <c r="H394">
        <v>5</v>
      </c>
      <c r="I394">
        <v>11</v>
      </c>
      <c r="J394" s="1" t="s">
        <v>15</v>
      </c>
      <c r="K394" s="1" t="s">
        <v>13</v>
      </c>
      <c r="L394" t="str" cm="1">
        <f t="array" ref="L394">_xlfn.IFS(B394&gt;-80,"Excellent",B394&gt;-95,"Good",B394&gt;-110,"Fair",  TRUE,"Poor")</f>
        <v>Fair</v>
      </c>
      <c r="M394" s="1" t="str">
        <f t="shared" si="6"/>
        <v>Normal</v>
      </c>
    </row>
    <row r="395" spans="1:13" x14ac:dyDescent="0.3">
      <c r="A395" s="3">
        <v>44592.828969907408</v>
      </c>
      <c r="B395">
        <v>-68.665932440204301</v>
      </c>
      <c r="C395">
        <v>27.155800743826099</v>
      </c>
      <c r="D395">
        <v>94.2933484418636</v>
      </c>
      <c r="E395" s="1" t="s">
        <v>18</v>
      </c>
      <c r="F395">
        <v>6.2241499819883996</v>
      </c>
      <c r="G395">
        <v>5.1427893429473697</v>
      </c>
      <c r="H395">
        <v>9</v>
      </c>
      <c r="I395">
        <v>3</v>
      </c>
      <c r="J395" s="1" t="s">
        <v>15</v>
      </c>
      <c r="K395" s="1" t="s">
        <v>13</v>
      </c>
      <c r="L395" t="str" cm="1">
        <f t="array" ref="L395">_xlfn.IFS(B395&gt;-80,"Excellent",B395&gt;-95,"Good",B395&gt;-110,"Fair",  TRUE,"Poor")</f>
        <v>Excellent</v>
      </c>
      <c r="M395" s="1" t="str">
        <f t="shared" si="6"/>
        <v>Normal</v>
      </c>
    </row>
    <row r="396" spans="1:13" x14ac:dyDescent="0.3">
      <c r="A396" s="3">
        <v>44593.723854166667</v>
      </c>
      <c r="B396">
        <v>-80.973446101241805</v>
      </c>
      <c r="C396">
        <v>25.876571784318401</v>
      </c>
      <c r="D396">
        <v>1035.7029647499901</v>
      </c>
      <c r="E396" s="1" t="s">
        <v>16</v>
      </c>
      <c r="F396">
        <v>1.84469149325705</v>
      </c>
      <c r="G396">
        <v>5.6450636586335001</v>
      </c>
      <c r="H396">
        <v>8</v>
      </c>
      <c r="I396">
        <v>12</v>
      </c>
      <c r="J396" s="1" t="s">
        <v>12</v>
      </c>
      <c r="K396" s="1" t="s">
        <v>13</v>
      </c>
      <c r="L396" t="str" cm="1">
        <f t="array" ref="L396">_xlfn.IFS(B396&gt;-80,"Excellent",B396&gt;-95,"Good",B396&gt;-110,"Fair",  TRUE,"Poor")</f>
        <v>Good</v>
      </c>
      <c r="M396" s="1" t="str">
        <f t="shared" si="6"/>
        <v>Normal</v>
      </c>
    </row>
    <row r="397" spans="1:13" x14ac:dyDescent="0.3">
      <c r="A397" s="3">
        <v>44594.479733796295</v>
      </c>
      <c r="B397">
        <v>-89.720191493346306</v>
      </c>
      <c r="C397">
        <v>28.599658055705302</v>
      </c>
      <c r="D397">
        <v>1612.9840519204099</v>
      </c>
      <c r="E397" s="1" t="s">
        <v>14</v>
      </c>
      <c r="F397">
        <v>5.9547710604853501</v>
      </c>
      <c r="G397">
        <v>2.0169007329936801</v>
      </c>
      <c r="H397">
        <v>8</v>
      </c>
      <c r="I397">
        <v>47</v>
      </c>
      <c r="J397" s="1" t="s">
        <v>12</v>
      </c>
      <c r="K397" s="1" t="s">
        <v>13</v>
      </c>
      <c r="L397" t="str" cm="1">
        <f t="array" ref="L397">_xlfn.IFS(B397&gt;-80,"Excellent",B397&gt;-95,"Good",B397&gt;-110,"Fair",  TRUE,"Poor")</f>
        <v>Good</v>
      </c>
      <c r="M397" s="1" t="str">
        <f t="shared" si="6"/>
        <v>Normal</v>
      </c>
    </row>
    <row r="398" spans="1:13" x14ac:dyDescent="0.3">
      <c r="A398" s="3">
        <v>44595.643368055556</v>
      </c>
      <c r="B398">
        <v>-63.492403923721902</v>
      </c>
      <c r="C398">
        <v>15.8772778174806</v>
      </c>
      <c r="D398">
        <v>474.89486143941701</v>
      </c>
      <c r="E398" s="1" t="s">
        <v>16</v>
      </c>
      <c r="F398">
        <v>4.2254874773218203E-2</v>
      </c>
      <c r="G398">
        <v>5.7860497658446102</v>
      </c>
      <c r="H398">
        <v>4</v>
      </c>
      <c r="I398">
        <v>37</v>
      </c>
      <c r="J398" s="1" t="s">
        <v>15</v>
      </c>
      <c r="K398" s="1" t="s">
        <v>17</v>
      </c>
      <c r="L398" t="str" cm="1">
        <f t="array" ref="L398">_xlfn.IFS(B398&gt;-80,"Excellent",B398&gt;-95,"Good",B398&gt;-110,"Fair",  TRUE,"Poor")</f>
        <v>Excellent</v>
      </c>
      <c r="M398" s="1" t="str">
        <f t="shared" si="6"/>
        <v>Normal</v>
      </c>
    </row>
    <row r="399" spans="1:13" x14ac:dyDescent="0.3">
      <c r="A399" s="3">
        <v>44596.58253472222</v>
      </c>
      <c r="B399">
        <v>-93.455637830947495</v>
      </c>
      <c r="C399">
        <v>18.101197295992002</v>
      </c>
      <c r="D399">
        <v>65.2846511909474</v>
      </c>
      <c r="E399" s="1" t="s">
        <v>18</v>
      </c>
      <c r="F399">
        <v>6.99715861932716</v>
      </c>
      <c r="G399">
        <v>5.40794797094083</v>
      </c>
      <c r="H399">
        <v>2</v>
      </c>
      <c r="I399">
        <v>97</v>
      </c>
      <c r="J399" s="1" t="s">
        <v>12</v>
      </c>
      <c r="K399" s="1" t="s">
        <v>13</v>
      </c>
      <c r="L399" t="str" cm="1">
        <f t="array" ref="L399">_xlfn.IFS(B399&gt;-80,"Excellent",B399&gt;-95,"Good",B399&gt;-110,"Fair",  TRUE,"Poor")</f>
        <v>Good</v>
      </c>
      <c r="M399" s="1" t="str">
        <f t="shared" si="6"/>
        <v>Normal</v>
      </c>
    </row>
    <row r="400" spans="1:13" x14ac:dyDescent="0.3">
      <c r="A400" s="3">
        <v>44597.919745370367</v>
      </c>
      <c r="B400">
        <v>-67.219786615885397</v>
      </c>
      <c r="C400">
        <v>13.084205635412401</v>
      </c>
      <c r="D400">
        <v>1559.38283600154</v>
      </c>
      <c r="E400" s="1" t="s">
        <v>16</v>
      </c>
      <c r="F400">
        <v>0.66398591999187795</v>
      </c>
      <c r="G400">
        <v>8.4050777418566796</v>
      </c>
      <c r="H400">
        <v>9</v>
      </c>
      <c r="I400">
        <v>17</v>
      </c>
      <c r="J400" s="1" t="s">
        <v>12</v>
      </c>
      <c r="K400" s="1" t="s">
        <v>17</v>
      </c>
      <c r="L400" t="str" cm="1">
        <f t="array" ref="L400">_xlfn.IFS(B400&gt;-80,"Excellent",B400&gt;-95,"Good",B400&gt;-110,"Fair",  TRUE,"Poor")</f>
        <v>Excellent</v>
      </c>
      <c r="M400" s="1" t="str">
        <f t="shared" si="6"/>
        <v>Normal</v>
      </c>
    </row>
    <row r="401" spans="1:13" x14ac:dyDescent="0.3">
      <c r="A401" s="3">
        <v>44598.967152777775</v>
      </c>
      <c r="B401">
        <v>-76.729923372653403</v>
      </c>
      <c r="C401">
        <v>25.510470826704999</v>
      </c>
      <c r="D401">
        <v>785.59870587829198</v>
      </c>
      <c r="E401" s="1" t="s">
        <v>14</v>
      </c>
      <c r="F401">
        <v>4.6282197346290301</v>
      </c>
      <c r="G401">
        <v>5.4219890709017298</v>
      </c>
      <c r="H401">
        <v>1</v>
      </c>
      <c r="I401">
        <v>1</v>
      </c>
      <c r="J401" s="1" t="s">
        <v>12</v>
      </c>
      <c r="K401" s="1" t="s">
        <v>17</v>
      </c>
      <c r="L401" t="str" cm="1">
        <f t="array" ref="L401">_xlfn.IFS(B401&gt;-80,"Excellent",B401&gt;-95,"Good",B401&gt;-110,"Fair",  TRUE,"Poor")</f>
        <v>Excellent</v>
      </c>
      <c r="M401" s="1" t="str">
        <f t="shared" si="6"/>
        <v>Normal</v>
      </c>
    </row>
    <row r="402" spans="1:13" x14ac:dyDescent="0.3">
      <c r="A402" s="3">
        <v>44599.439641203702</v>
      </c>
      <c r="B402">
        <v>-71.507545277565598</v>
      </c>
      <c r="C402">
        <v>17.546362064715002</v>
      </c>
      <c r="D402">
        <v>1741.7535639370999</v>
      </c>
      <c r="E402" s="1" t="s">
        <v>18</v>
      </c>
      <c r="F402">
        <v>2.69992065239148</v>
      </c>
      <c r="G402">
        <v>2.48398821802073</v>
      </c>
      <c r="H402">
        <v>2</v>
      </c>
      <c r="I402">
        <v>29</v>
      </c>
      <c r="J402" s="1" t="s">
        <v>15</v>
      </c>
      <c r="K402" s="1" t="s">
        <v>13</v>
      </c>
      <c r="L402" t="str" cm="1">
        <f t="array" ref="L402">_xlfn.IFS(B402&gt;-80,"Excellent",B402&gt;-95,"Good",B402&gt;-110,"Fair",  TRUE,"Poor")</f>
        <v>Excellent</v>
      </c>
      <c r="M402" s="1" t="str">
        <f t="shared" si="6"/>
        <v>Normal</v>
      </c>
    </row>
    <row r="403" spans="1:13" x14ac:dyDescent="0.3">
      <c r="A403" s="3">
        <v>44600.642870370371</v>
      </c>
      <c r="B403">
        <v>-89.572792739636597</v>
      </c>
      <c r="C403">
        <v>19.010286656843501</v>
      </c>
      <c r="D403">
        <v>920.88340106539295</v>
      </c>
      <c r="E403" s="1" t="s">
        <v>14</v>
      </c>
      <c r="F403">
        <v>8.7056307593603002</v>
      </c>
      <c r="G403">
        <v>3.6701752822115501</v>
      </c>
      <c r="H403">
        <v>8</v>
      </c>
      <c r="I403">
        <v>43</v>
      </c>
      <c r="J403" s="1" t="s">
        <v>15</v>
      </c>
      <c r="K403" s="1" t="s">
        <v>17</v>
      </c>
      <c r="L403" t="str" cm="1">
        <f t="array" ref="L403">_xlfn.IFS(B403&gt;-80,"Excellent",B403&gt;-95,"Good",B403&gt;-110,"Fair",  TRUE,"Poor")</f>
        <v>Good</v>
      </c>
      <c r="M403" s="1" t="str">
        <f t="shared" si="6"/>
        <v>Normal</v>
      </c>
    </row>
    <row r="404" spans="1:13" x14ac:dyDescent="0.3">
      <c r="A404" s="3">
        <v>44601.770439814813</v>
      </c>
      <c r="B404">
        <v>-75.018895560604506</v>
      </c>
      <c r="C404">
        <v>28.763111696961399</v>
      </c>
      <c r="D404">
        <v>1783.16119351252</v>
      </c>
      <c r="E404" s="1" t="s">
        <v>18</v>
      </c>
      <c r="F404">
        <v>7.5769941412887398</v>
      </c>
      <c r="G404">
        <v>6.6024083167029097</v>
      </c>
      <c r="H404">
        <v>7</v>
      </c>
      <c r="I404">
        <v>69</v>
      </c>
      <c r="J404" s="1" t="s">
        <v>15</v>
      </c>
      <c r="K404" s="1" t="s">
        <v>13</v>
      </c>
      <c r="L404" t="str" cm="1">
        <f t="array" ref="L404">_xlfn.IFS(B404&gt;-80,"Excellent",B404&gt;-95,"Good",B404&gt;-110,"Fair",  TRUE,"Poor")</f>
        <v>Excellent</v>
      </c>
      <c r="M404" s="1" t="str">
        <f t="shared" si="6"/>
        <v>Normal</v>
      </c>
    </row>
    <row r="405" spans="1:13" x14ac:dyDescent="0.3">
      <c r="A405" s="3">
        <v>44602.52820601852</v>
      </c>
      <c r="B405">
        <v>-99.473408361866802</v>
      </c>
      <c r="C405">
        <v>13.8405967808733</v>
      </c>
      <c r="D405">
        <v>463.40750620306699</v>
      </c>
      <c r="E405" s="1" t="s">
        <v>11</v>
      </c>
      <c r="F405">
        <v>7.2870925938821198</v>
      </c>
      <c r="G405">
        <v>4.6885826950143104</v>
      </c>
      <c r="H405">
        <v>8</v>
      </c>
      <c r="I405">
        <v>86</v>
      </c>
      <c r="J405" s="1" t="s">
        <v>15</v>
      </c>
      <c r="K405" s="1" t="s">
        <v>13</v>
      </c>
      <c r="L405" t="str" cm="1">
        <f t="array" ref="L405">_xlfn.IFS(B405&gt;-80,"Excellent",B405&gt;-95,"Good",B405&gt;-110,"Fair",  TRUE,"Poor")</f>
        <v>Fair</v>
      </c>
      <c r="M405" s="1" t="str">
        <f t="shared" si="6"/>
        <v>Normal</v>
      </c>
    </row>
    <row r="406" spans="1:13" x14ac:dyDescent="0.3">
      <c r="A406" s="3">
        <v>44603.753263888888</v>
      </c>
      <c r="B406">
        <v>-85.171326886449606</v>
      </c>
      <c r="C406">
        <v>23.131393754088698</v>
      </c>
      <c r="D406">
        <v>1535.95853281276</v>
      </c>
      <c r="E406" s="1" t="s">
        <v>11</v>
      </c>
      <c r="F406">
        <v>13.058010844443899</v>
      </c>
      <c r="G406">
        <v>9.0153136595931898</v>
      </c>
      <c r="H406">
        <v>8</v>
      </c>
      <c r="I406">
        <v>66</v>
      </c>
      <c r="J406" s="1" t="s">
        <v>15</v>
      </c>
      <c r="K406" s="1" t="s">
        <v>13</v>
      </c>
      <c r="L406" t="str" cm="1">
        <f t="array" ref="L406">_xlfn.IFS(B406&gt;-80,"Excellent",B406&gt;-95,"Good",B406&gt;-110,"Fair",  TRUE,"Poor")</f>
        <v>Good</v>
      </c>
      <c r="M406" s="1" t="str">
        <f t="shared" si="6"/>
        <v>High Loss</v>
      </c>
    </row>
    <row r="407" spans="1:13" x14ac:dyDescent="0.3">
      <c r="A407" s="3">
        <v>44604.831585648149</v>
      </c>
      <c r="B407">
        <v>-71.256720254046002</v>
      </c>
      <c r="C407">
        <v>20.672314071664999</v>
      </c>
      <c r="D407">
        <v>388.20612110539503</v>
      </c>
      <c r="E407" s="1" t="s">
        <v>14</v>
      </c>
      <c r="F407">
        <v>1.1396310498756499</v>
      </c>
      <c r="G407">
        <v>7.4553368679395797</v>
      </c>
      <c r="H407">
        <v>5</v>
      </c>
      <c r="I407">
        <v>17</v>
      </c>
      <c r="J407" s="1" t="s">
        <v>12</v>
      </c>
      <c r="K407" s="1" t="s">
        <v>13</v>
      </c>
      <c r="L407" t="str" cm="1">
        <f t="array" ref="L407">_xlfn.IFS(B407&gt;-80,"Excellent",B407&gt;-95,"Good",B407&gt;-110,"Fair",  TRUE,"Poor")</f>
        <v>Excellent</v>
      </c>
      <c r="M407" s="1" t="str">
        <f t="shared" si="6"/>
        <v>Normal</v>
      </c>
    </row>
    <row r="408" spans="1:13" x14ac:dyDescent="0.3">
      <c r="A408" s="3">
        <v>44605.762465277781</v>
      </c>
      <c r="B408">
        <v>-99.505301760880897</v>
      </c>
      <c r="C408">
        <v>29.012158803457002</v>
      </c>
      <c r="D408">
        <v>1541.91341877229</v>
      </c>
      <c r="E408" s="1" t="s">
        <v>14</v>
      </c>
      <c r="F408">
        <v>2.9532493961972599</v>
      </c>
      <c r="G408">
        <v>9.72775737789493</v>
      </c>
      <c r="H408">
        <v>3</v>
      </c>
      <c r="I408">
        <v>71</v>
      </c>
      <c r="J408" s="1" t="s">
        <v>12</v>
      </c>
      <c r="K408" s="1" t="s">
        <v>13</v>
      </c>
      <c r="L408" t="str" cm="1">
        <f t="array" ref="L408">_xlfn.IFS(B408&gt;-80,"Excellent",B408&gt;-95,"Good",B408&gt;-110,"Fair",  TRUE,"Poor")</f>
        <v>Fair</v>
      </c>
      <c r="M408" s="1" t="str">
        <f t="shared" si="6"/>
        <v>Normal</v>
      </c>
    </row>
    <row r="409" spans="1:13" x14ac:dyDescent="0.3">
      <c r="A409" s="3">
        <v>44606.687523148146</v>
      </c>
      <c r="B409">
        <v>-94.304332538145303</v>
      </c>
      <c r="C409">
        <v>21.022139286695001</v>
      </c>
      <c r="D409">
        <v>1402.1977644931201</v>
      </c>
      <c r="E409" s="1" t="s">
        <v>11</v>
      </c>
      <c r="F409">
        <v>10.5488535587416</v>
      </c>
      <c r="G409">
        <v>7.4502100748516904</v>
      </c>
      <c r="H409">
        <v>8</v>
      </c>
      <c r="I409">
        <v>34</v>
      </c>
      <c r="J409" s="1" t="s">
        <v>12</v>
      </c>
      <c r="K409" s="1" t="s">
        <v>17</v>
      </c>
      <c r="L409" t="str" cm="1">
        <f t="array" ref="L409">_xlfn.IFS(B409&gt;-80,"Excellent",B409&gt;-95,"Good",B409&gt;-110,"Fair",  TRUE,"Poor")</f>
        <v>Good</v>
      </c>
      <c r="M409" s="1" t="str">
        <f t="shared" si="6"/>
        <v>High Loss</v>
      </c>
    </row>
    <row r="410" spans="1:13" x14ac:dyDescent="0.3">
      <c r="A410" s="3">
        <v>44607.709930555553</v>
      </c>
      <c r="B410">
        <v>-100.665524471071</v>
      </c>
      <c r="C410">
        <v>21.989502848831499</v>
      </c>
      <c r="D410">
        <v>1738.53821212203</v>
      </c>
      <c r="E410" s="1" t="s">
        <v>18</v>
      </c>
      <c r="F410">
        <v>3.8244171616511999</v>
      </c>
      <c r="G410">
        <v>1.1645331894153199</v>
      </c>
      <c r="H410">
        <v>9</v>
      </c>
      <c r="I410">
        <v>89</v>
      </c>
      <c r="J410" s="1" t="s">
        <v>12</v>
      </c>
      <c r="K410" s="1" t="s">
        <v>17</v>
      </c>
      <c r="L410" t="str" cm="1">
        <f t="array" ref="L410">_xlfn.IFS(B410&gt;-80,"Excellent",B410&gt;-95,"Good",B410&gt;-110,"Fair",  TRUE,"Poor")</f>
        <v>Fair</v>
      </c>
      <c r="M410" s="1" t="str">
        <f t="shared" si="6"/>
        <v>Normal</v>
      </c>
    </row>
    <row r="411" spans="1:13" x14ac:dyDescent="0.3">
      <c r="A411" s="3">
        <v>44608.460416666669</v>
      </c>
      <c r="B411">
        <v>-68.345348982060401</v>
      </c>
      <c r="C411">
        <v>11.9541654959579</v>
      </c>
      <c r="D411">
        <v>435.724200253025</v>
      </c>
      <c r="E411" s="1" t="s">
        <v>18</v>
      </c>
      <c r="F411">
        <v>7.7607760268935797</v>
      </c>
      <c r="G411">
        <v>3.3082883692765299</v>
      </c>
      <c r="H411">
        <v>9</v>
      </c>
      <c r="I411">
        <v>73</v>
      </c>
      <c r="J411" s="1" t="s">
        <v>12</v>
      </c>
      <c r="K411" s="1" t="s">
        <v>17</v>
      </c>
      <c r="L411" t="str" cm="1">
        <f t="array" ref="L411">_xlfn.IFS(B411&gt;-80,"Excellent",B411&gt;-95,"Good",B411&gt;-110,"Fair",  TRUE,"Poor")</f>
        <v>Excellent</v>
      </c>
      <c r="M411" s="1" t="str">
        <f t="shared" si="6"/>
        <v>Normal</v>
      </c>
    </row>
    <row r="412" spans="1:13" x14ac:dyDescent="0.3">
      <c r="A412" s="3">
        <v>44609.809918981482</v>
      </c>
      <c r="B412">
        <v>-95.132537223082807</v>
      </c>
      <c r="C412">
        <v>15.671716607808399</v>
      </c>
      <c r="D412">
        <v>1511.56641222445</v>
      </c>
      <c r="E412" s="1" t="s">
        <v>11</v>
      </c>
      <c r="F412">
        <v>10.117210013919999</v>
      </c>
      <c r="G412">
        <v>1.51438158644089</v>
      </c>
      <c r="H412">
        <v>3</v>
      </c>
      <c r="I412">
        <v>70</v>
      </c>
      <c r="J412" s="1" t="s">
        <v>15</v>
      </c>
      <c r="K412" s="1" t="s">
        <v>17</v>
      </c>
      <c r="L412" t="str" cm="1">
        <f t="array" ref="L412">_xlfn.IFS(B412&gt;-80,"Excellent",B412&gt;-95,"Good",B412&gt;-110,"Fair",  TRUE,"Poor")</f>
        <v>Fair</v>
      </c>
      <c r="M412" s="1" t="str">
        <f t="shared" si="6"/>
        <v>High Loss</v>
      </c>
    </row>
    <row r="413" spans="1:13" x14ac:dyDescent="0.3">
      <c r="A413" s="3">
        <v>44610.602696759262</v>
      </c>
      <c r="B413">
        <v>-84.956229653949507</v>
      </c>
      <c r="C413">
        <v>29.566359386936998</v>
      </c>
      <c r="D413">
        <v>1396.9513028798499</v>
      </c>
      <c r="E413" s="1" t="s">
        <v>18</v>
      </c>
      <c r="F413">
        <v>7.7668073173908896</v>
      </c>
      <c r="G413">
        <v>6.0632026463065696</v>
      </c>
      <c r="H413">
        <v>9</v>
      </c>
      <c r="I413">
        <v>74</v>
      </c>
      <c r="J413" s="1" t="s">
        <v>12</v>
      </c>
      <c r="K413" s="1" t="s">
        <v>13</v>
      </c>
      <c r="L413" t="str" cm="1">
        <f t="array" ref="L413">_xlfn.IFS(B413&gt;-80,"Excellent",B413&gt;-95,"Good",B413&gt;-110,"Fair",  TRUE,"Poor")</f>
        <v>Good</v>
      </c>
      <c r="M413" s="1" t="str">
        <f t="shared" si="6"/>
        <v>Normal</v>
      </c>
    </row>
    <row r="414" spans="1:13" x14ac:dyDescent="0.3">
      <c r="A414" s="3">
        <v>44611.410312499997</v>
      </c>
      <c r="B414">
        <v>-82.552024583805306</v>
      </c>
      <c r="C414">
        <v>23.020908633321501</v>
      </c>
      <c r="D414">
        <v>438.22343584266798</v>
      </c>
      <c r="E414" s="1" t="s">
        <v>14</v>
      </c>
      <c r="F414">
        <v>3.3227245512994998</v>
      </c>
      <c r="G414">
        <v>1.0977960959341699</v>
      </c>
      <c r="H414">
        <v>8</v>
      </c>
      <c r="I414">
        <v>60</v>
      </c>
      <c r="J414" s="1" t="s">
        <v>12</v>
      </c>
      <c r="K414" s="1" t="s">
        <v>13</v>
      </c>
      <c r="L414" t="str" cm="1">
        <f t="array" ref="L414">_xlfn.IFS(B414&gt;-80,"Excellent",B414&gt;-95,"Good",B414&gt;-110,"Fair",  TRUE,"Poor")</f>
        <v>Good</v>
      </c>
      <c r="M414" s="1" t="str">
        <f t="shared" si="6"/>
        <v>Normal</v>
      </c>
    </row>
    <row r="415" spans="1:13" x14ac:dyDescent="0.3">
      <c r="A415" s="3">
        <v>44612.604780092595</v>
      </c>
      <c r="B415">
        <v>-106.133142964071</v>
      </c>
      <c r="C415">
        <v>24.106440376040101</v>
      </c>
      <c r="D415">
        <v>1677.35900724676</v>
      </c>
      <c r="E415" s="1" t="s">
        <v>11</v>
      </c>
      <c r="F415">
        <v>9.6406253189347808</v>
      </c>
      <c r="G415">
        <v>6.4269553399874599</v>
      </c>
      <c r="H415">
        <v>5</v>
      </c>
      <c r="I415">
        <v>62</v>
      </c>
      <c r="J415" s="1" t="s">
        <v>15</v>
      </c>
      <c r="K415" s="1" t="s">
        <v>13</v>
      </c>
      <c r="L415" t="str" cm="1">
        <f t="array" ref="L415">_xlfn.IFS(B415&gt;-80,"Excellent",B415&gt;-95,"Good",B415&gt;-110,"Fair",  TRUE,"Poor")</f>
        <v>Fair</v>
      </c>
      <c r="M415" s="1" t="str">
        <f t="shared" si="6"/>
        <v>Normal</v>
      </c>
    </row>
    <row r="416" spans="1:13" x14ac:dyDescent="0.3">
      <c r="A416" s="3">
        <v>44613.603090277778</v>
      </c>
      <c r="B416">
        <v>-79.729717398356101</v>
      </c>
      <c r="C416">
        <v>26.436393640696501</v>
      </c>
      <c r="D416">
        <v>670.26123435285899</v>
      </c>
      <c r="E416" s="1" t="s">
        <v>11</v>
      </c>
      <c r="F416">
        <v>12.3050709237699</v>
      </c>
      <c r="G416">
        <v>9.2574461099650591</v>
      </c>
      <c r="H416">
        <v>6</v>
      </c>
      <c r="I416">
        <v>69</v>
      </c>
      <c r="J416" s="1" t="s">
        <v>12</v>
      </c>
      <c r="K416" s="1" t="s">
        <v>17</v>
      </c>
      <c r="L416" t="str" cm="1">
        <f t="array" ref="L416">_xlfn.IFS(B416&gt;-80,"Excellent",B416&gt;-95,"Good",B416&gt;-110,"Fair",  TRUE,"Poor")</f>
        <v>Excellent</v>
      </c>
      <c r="M416" s="1" t="str">
        <f t="shared" si="6"/>
        <v>High Loss</v>
      </c>
    </row>
    <row r="417" spans="1:13" x14ac:dyDescent="0.3">
      <c r="A417" s="3">
        <v>44614.839768518519</v>
      </c>
      <c r="B417">
        <v>-99.263019928702306</v>
      </c>
      <c r="C417">
        <v>12.7371423622288</v>
      </c>
      <c r="D417">
        <v>742.53611913812404</v>
      </c>
      <c r="E417" s="1" t="s">
        <v>18</v>
      </c>
      <c r="F417">
        <v>6.0495813791948096</v>
      </c>
      <c r="G417">
        <v>4.8409124740102296</v>
      </c>
      <c r="H417">
        <v>10</v>
      </c>
      <c r="I417">
        <v>7</v>
      </c>
      <c r="J417" s="1" t="s">
        <v>12</v>
      </c>
      <c r="K417" s="1" t="s">
        <v>17</v>
      </c>
      <c r="L417" t="str" cm="1">
        <f t="array" ref="L417">_xlfn.IFS(B417&gt;-80,"Excellent",B417&gt;-95,"Good",B417&gt;-110,"Fair",  TRUE,"Poor")</f>
        <v>Fair</v>
      </c>
      <c r="M417" s="1" t="str">
        <f t="shared" si="6"/>
        <v>Normal</v>
      </c>
    </row>
    <row r="418" spans="1:13" x14ac:dyDescent="0.3">
      <c r="A418" s="3">
        <v>44615.467118055552</v>
      </c>
      <c r="B418">
        <v>-98.000058572189602</v>
      </c>
      <c r="C418">
        <v>27.620506793114298</v>
      </c>
      <c r="D418">
        <v>1050.17876749064</v>
      </c>
      <c r="E418" s="1" t="s">
        <v>16</v>
      </c>
      <c r="F418">
        <v>0.51699795489741796</v>
      </c>
      <c r="G418">
        <v>3.0617486172839601</v>
      </c>
      <c r="H418">
        <v>1</v>
      </c>
      <c r="I418">
        <v>53</v>
      </c>
      <c r="J418" s="1" t="s">
        <v>12</v>
      </c>
      <c r="K418" s="1" t="s">
        <v>17</v>
      </c>
      <c r="L418" t="str" cm="1">
        <f t="array" ref="L418">_xlfn.IFS(B418&gt;-80,"Excellent",B418&gt;-95,"Good",B418&gt;-110,"Fair",  TRUE,"Poor")</f>
        <v>Fair</v>
      </c>
      <c r="M418" s="1" t="str">
        <f t="shared" si="6"/>
        <v>Normal</v>
      </c>
    </row>
    <row r="419" spans="1:13" x14ac:dyDescent="0.3">
      <c r="A419" s="3">
        <v>44616.427893518521</v>
      </c>
      <c r="B419">
        <v>-65.144903060654599</v>
      </c>
      <c r="C419">
        <v>14.1250153242806</v>
      </c>
      <c r="D419">
        <v>250.379665262966</v>
      </c>
      <c r="E419" s="1" t="s">
        <v>16</v>
      </c>
      <c r="F419">
        <v>3.6710882068017199</v>
      </c>
      <c r="G419">
        <v>0.99060806204904495</v>
      </c>
      <c r="H419">
        <v>8</v>
      </c>
      <c r="I419">
        <v>64</v>
      </c>
      <c r="J419" s="1" t="s">
        <v>15</v>
      </c>
      <c r="K419" s="1" t="s">
        <v>17</v>
      </c>
      <c r="L419" t="str" cm="1">
        <f t="array" ref="L419">_xlfn.IFS(B419&gt;-80,"Excellent",B419&gt;-95,"Good",B419&gt;-110,"Fair",  TRUE,"Poor")</f>
        <v>Excellent</v>
      </c>
      <c r="M419" s="1" t="str">
        <f t="shared" si="6"/>
        <v>Normal</v>
      </c>
    </row>
    <row r="420" spans="1:13" x14ac:dyDescent="0.3">
      <c r="A420" s="3">
        <v>44617.523009259261</v>
      </c>
      <c r="B420">
        <v>-98.782744106010597</v>
      </c>
      <c r="C420">
        <v>21.0707027150568</v>
      </c>
      <c r="D420">
        <v>517.66211014542102</v>
      </c>
      <c r="E420" s="1" t="s">
        <v>16</v>
      </c>
      <c r="F420">
        <v>0.127614289227517</v>
      </c>
      <c r="G420">
        <v>3.4343231205029801</v>
      </c>
      <c r="H420">
        <v>9</v>
      </c>
      <c r="I420">
        <v>78</v>
      </c>
      <c r="J420" s="1" t="s">
        <v>12</v>
      </c>
      <c r="K420" s="1" t="s">
        <v>17</v>
      </c>
      <c r="L420" t="str" cm="1">
        <f t="array" ref="L420">_xlfn.IFS(B420&gt;-80,"Excellent",B420&gt;-95,"Good",B420&gt;-110,"Fair",  TRUE,"Poor")</f>
        <v>Fair</v>
      </c>
      <c r="M420" s="1" t="str">
        <f t="shared" si="6"/>
        <v>Normal</v>
      </c>
    </row>
    <row r="421" spans="1:13" x14ac:dyDescent="0.3">
      <c r="A421" s="3">
        <v>44618.569386574076</v>
      </c>
      <c r="B421">
        <v>-73.822920155344804</v>
      </c>
      <c r="C421">
        <v>17.3920484050265</v>
      </c>
      <c r="D421">
        <v>366.94975945240299</v>
      </c>
      <c r="E421" s="1" t="s">
        <v>18</v>
      </c>
      <c r="F421">
        <v>5.9266484868052496</v>
      </c>
      <c r="G421">
        <v>4.5770060080507404</v>
      </c>
      <c r="H421">
        <v>4</v>
      </c>
      <c r="I421">
        <v>47</v>
      </c>
      <c r="J421" s="1" t="s">
        <v>12</v>
      </c>
      <c r="K421" s="1" t="s">
        <v>13</v>
      </c>
      <c r="L421" t="str" cm="1">
        <f t="array" ref="L421">_xlfn.IFS(B421&gt;-80,"Excellent",B421&gt;-95,"Good",B421&gt;-110,"Fair",  TRUE,"Poor")</f>
        <v>Excellent</v>
      </c>
      <c r="M421" s="1" t="str">
        <f t="shared" si="6"/>
        <v>Normal</v>
      </c>
    </row>
    <row r="422" spans="1:13" x14ac:dyDescent="0.3">
      <c r="A422" s="3">
        <v>44619.537465277775</v>
      </c>
      <c r="B422">
        <v>-92.101596511246896</v>
      </c>
      <c r="C422">
        <v>10.538339564996599</v>
      </c>
      <c r="D422">
        <v>139.673289434395</v>
      </c>
      <c r="E422" s="1" t="s">
        <v>14</v>
      </c>
      <c r="F422">
        <v>7.4603001932556303</v>
      </c>
      <c r="G422">
        <v>6.6392471309417198</v>
      </c>
      <c r="H422">
        <v>9</v>
      </c>
      <c r="I422">
        <v>90</v>
      </c>
      <c r="J422" s="1" t="s">
        <v>15</v>
      </c>
      <c r="K422" s="1" t="s">
        <v>13</v>
      </c>
      <c r="L422" t="str" cm="1">
        <f t="array" ref="L422">_xlfn.IFS(B422&gt;-80,"Excellent",B422&gt;-95,"Good",B422&gt;-110,"Fair",  TRUE,"Poor")</f>
        <v>Good</v>
      </c>
      <c r="M422" s="1" t="str">
        <f t="shared" si="6"/>
        <v>Normal</v>
      </c>
    </row>
    <row r="423" spans="1:13" x14ac:dyDescent="0.3">
      <c r="A423" s="3">
        <v>44620.684895833336</v>
      </c>
      <c r="B423">
        <v>-50.122221876305602</v>
      </c>
      <c r="C423">
        <v>27.5115133301219</v>
      </c>
      <c r="D423">
        <v>1499.09040356531</v>
      </c>
      <c r="E423" s="1" t="s">
        <v>16</v>
      </c>
      <c r="F423">
        <v>3.6312661727207902</v>
      </c>
      <c r="G423">
        <v>6.8798637932164004</v>
      </c>
      <c r="H423">
        <v>10</v>
      </c>
      <c r="I423">
        <v>57</v>
      </c>
      <c r="J423" s="1" t="s">
        <v>15</v>
      </c>
      <c r="K423" s="1" t="s">
        <v>17</v>
      </c>
      <c r="L423" t="str" cm="1">
        <f t="array" ref="L423">_xlfn.IFS(B423&gt;-80,"Excellent",B423&gt;-95,"Good",B423&gt;-110,"Fair",  TRUE,"Poor")</f>
        <v>Excellent</v>
      </c>
      <c r="M423" s="1" t="str">
        <f t="shared" si="6"/>
        <v>Normal</v>
      </c>
    </row>
    <row r="424" spans="1:13" x14ac:dyDescent="0.3">
      <c r="A424" s="1" t="s">
        <v>19</v>
      </c>
      <c r="B424">
        <v>-64.923228400977194</v>
      </c>
      <c r="C424">
        <v>21.674904073970101</v>
      </c>
      <c r="D424">
        <v>1392.02341032192</v>
      </c>
      <c r="E424" s="1" t="s">
        <v>14</v>
      </c>
      <c r="F424">
        <v>3.1540484735340302</v>
      </c>
      <c r="G424">
        <v>8.3160671620430193</v>
      </c>
      <c r="H424">
        <v>2</v>
      </c>
      <c r="I424">
        <v>58</v>
      </c>
      <c r="J424" s="1" t="s">
        <v>15</v>
      </c>
      <c r="K424" s="1" t="s">
        <v>13</v>
      </c>
      <c r="L424" t="str" cm="1">
        <f t="array" ref="L424">_xlfn.IFS(B424&gt;-80,"Excellent",B424&gt;-95,"Good",B424&gt;-110,"Fair",  TRUE,"Poor")</f>
        <v>Excellent</v>
      </c>
      <c r="M424" s="1" t="str">
        <f t="shared" si="6"/>
        <v>Normal</v>
      </c>
    </row>
    <row r="425" spans="1:13" x14ac:dyDescent="0.3">
      <c r="A425" s="3">
        <v>44621.666944444441</v>
      </c>
      <c r="B425">
        <v>-94.948763686327496</v>
      </c>
      <c r="C425">
        <v>17.026501965172201</v>
      </c>
      <c r="D425">
        <v>1330.7328253128501</v>
      </c>
      <c r="E425" s="1" t="s">
        <v>18</v>
      </c>
      <c r="F425">
        <v>4.2727655557842299</v>
      </c>
      <c r="G425">
        <v>6.1324063554237203</v>
      </c>
      <c r="H425">
        <v>4</v>
      </c>
      <c r="I425">
        <v>52</v>
      </c>
      <c r="J425" s="1" t="s">
        <v>15</v>
      </c>
      <c r="K425" s="1" t="s">
        <v>13</v>
      </c>
      <c r="L425" t="str" cm="1">
        <f t="array" ref="L425">_xlfn.IFS(B425&gt;-80,"Excellent",B425&gt;-95,"Good",B425&gt;-110,"Fair",  TRUE,"Poor")</f>
        <v>Good</v>
      </c>
      <c r="M425" s="1" t="str">
        <f t="shared" si="6"/>
        <v>Normal</v>
      </c>
    </row>
    <row r="426" spans="1:13" x14ac:dyDescent="0.3">
      <c r="A426" s="3">
        <v>44622.91851851852</v>
      </c>
      <c r="B426">
        <v>-82.374030111560799</v>
      </c>
      <c r="C426">
        <v>17.434352455213201</v>
      </c>
      <c r="D426">
        <v>858.51562139612395</v>
      </c>
      <c r="E426" s="1" t="s">
        <v>11</v>
      </c>
      <c r="F426">
        <v>9.1638076867117704</v>
      </c>
      <c r="G426">
        <v>1.4646178254951401</v>
      </c>
      <c r="H426">
        <v>7</v>
      </c>
      <c r="I426">
        <v>39</v>
      </c>
      <c r="J426" s="1" t="s">
        <v>15</v>
      </c>
      <c r="K426" s="1" t="s">
        <v>17</v>
      </c>
      <c r="L426" t="str" cm="1">
        <f t="array" ref="L426">_xlfn.IFS(B426&gt;-80,"Excellent",B426&gt;-95,"Good",B426&gt;-110,"Fair",  TRUE,"Poor")</f>
        <v>Good</v>
      </c>
      <c r="M426" s="1" t="str">
        <f t="shared" si="6"/>
        <v>Normal</v>
      </c>
    </row>
    <row r="427" spans="1:13" x14ac:dyDescent="0.3">
      <c r="A427" s="3">
        <v>44623.699664351851</v>
      </c>
      <c r="B427">
        <v>-93.259084404078905</v>
      </c>
      <c r="C427">
        <v>19.424453079118098</v>
      </c>
      <c r="D427">
        <v>1265.5263361310599</v>
      </c>
      <c r="E427" s="1" t="s">
        <v>11</v>
      </c>
      <c r="F427">
        <v>8.0115760467077806</v>
      </c>
      <c r="G427">
        <v>0.32529260137196198</v>
      </c>
      <c r="H427">
        <v>6</v>
      </c>
      <c r="I427">
        <v>11</v>
      </c>
      <c r="J427" s="1" t="s">
        <v>15</v>
      </c>
      <c r="K427" s="1" t="s">
        <v>13</v>
      </c>
      <c r="L427" t="str" cm="1">
        <f t="array" ref="L427">_xlfn.IFS(B427&gt;-80,"Excellent",B427&gt;-95,"Good",B427&gt;-110,"Fair",  TRUE,"Poor")</f>
        <v>Good</v>
      </c>
      <c r="M427" s="1" t="str">
        <f t="shared" si="6"/>
        <v>Normal</v>
      </c>
    </row>
    <row r="428" spans="1:13" x14ac:dyDescent="0.3">
      <c r="A428" s="3">
        <v>44624.523472222223</v>
      </c>
      <c r="B428">
        <v>-93.424331290052507</v>
      </c>
      <c r="C428">
        <v>28.8348285893317</v>
      </c>
      <c r="D428">
        <v>1783.4587094393301</v>
      </c>
      <c r="E428" s="1" t="s">
        <v>14</v>
      </c>
      <c r="F428">
        <v>2.9122847888057399</v>
      </c>
      <c r="G428">
        <v>8.1751053531538407</v>
      </c>
      <c r="H428">
        <v>5</v>
      </c>
      <c r="I428">
        <v>34</v>
      </c>
      <c r="J428" s="1" t="s">
        <v>12</v>
      </c>
      <c r="K428" s="1" t="s">
        <v>17</v>
      </c>
      <c r="L428" t="str" cm="1">
        <f t="array" ref="L428">_xlfn.IFS(B428&gt;-80,"Excellent",B428&gt;-95,"Good",B428&gt;-110,"Fair",  TRUE,"Poor")</f>
        <v>Good</v>
      </c>
      <c r="M428" s="1" t="str">
        <f t="shared" si="6"/>
        <v>Normal</v>
      </c>
    </row>
    <row r="429" spans="1:13" x14ac:dyDescent="0.3">
      <c r="A429" s="3">
        <v>44625.839386574073</v>
      </c>
      <c r="B429">
        <v>-109.731554646444</v>
      </c>
      <c r="C429">
        <v>13.171237241182</v>
      </c>
      <c r="D429">
        <v>1715.7469137355699</v>
      </c>
      <c r="E429" s="1" t="s">
        <v>16</v>
      </c>
      <c r="F429">
        <v>2.8329543403696902</v>
      </c>
      <c r="G429">
        <v>6.0611452202537697</v>
      </c>
      <c r="H429">
        <v>8</v>
      </c>
      <c r="I429">
        <v>38</v>
      </c>
      <c r="J429" s="1" t="s">
        <v>12</v>
      </c>
      <c r="K429" s="1" t="s">
        <v>17</v>
      </c>
      <c r="L429" t="str" cm="1">
        <f t="array" ref="L429">_xlfn.IFS(B429&gt;-80,"Excellent",B429&gt;-95,"Good",B429&gt;-110,"Fair",  TRUE,"Poor")</f>
        <v>Fair</v>
      </c>
      <c r="M429" s="1" t="str">
        <f t="shared" si="6"/>
        <v>Normal</v>
      </c>
    </row>
    <row r="430" spans="1:13" x14ac:dyDescent="0.3">
      <c r="A430" s="3">
        <v>44626.529513888891</v>
      </c>
      <c r="B430">
        <v>-75.592266207304405</v>
      </c>
      <c r="C430">
        <v>19.886349340290401</v>
      </c>
      <c r="D430">
        <v>1018.36421186632</v>
      </c>
      <c r="E430" s="1" t="s">
        <v>18</v>
      </c>
      <c r="F430">
        <v>2.0466214210014502</v>
      </c>
      <c r="G430">
        <v>8.6571989886117002</v>
      </c>
      <c r="H430">
        <v>7</v>
      </c>
      <c r="I430">
        <v>36</v>
      </c>
      <c r="J430" s="1" t="s">
        <v>15</v>
      </c>
      <c r="K430" s="1" t="s">
        <v>13</v>
      </c>
      <c r="L430" t="str" cm="1">
        <f t="array" ref="L430">_xlfn.IFS(B430&gt;-80,"Excellent",B430&gt;-95,"Good",B430&gt;-110,"Fair",  TRUE,"Poor")</f>
        <v>Excellent</v>
      </c>
      <c r="M430" s="1" t="str">
        <f t="shared" si="6"/>
        <v>Normal</v>
      </c>
    </row>
    <row r="431" spans="1:13" x14ac:dyDescent="0.3">
      <c r="A431" s="3">
        <v>44627.984085648146</v>
      </c>
      <c r="B431">
        <v>-113.361762064489</v>
      </c>
      <c r="C431">
        <v>14.384146008357099</v>
      </c>
      <c r="D431">
        <v>39.376341820752202</v>
      </c>
      <c r="E431" s="1" t="s">
        <v>16</v>
      </c>
      <c r="F431">
        <v>4.2342964493985802</v>
      </c>
      <c r="G431">
        <v>4.5913161296371099</v>
      </c>
      <c r="H431">
        <v>6</v>
      </c>
      <c r="I431">
        <v>74</v>
      </c>
      <c r="J431" s="1" t="s">
        <v>15</v>
      </c>
      <c r="K431" s="1" t="s">
        <v>17</v>
      </c>
      <c r="L431" t="str" cm="1">
        <f t="array" ref="L431">_xlfn.IFS(B431&gt;-80,"Excellent",B431&gt;-95,"Good",B431&gt;-110,"Fair",  TRUE,"Poor")</f>
        <v>Poor</v>
      </c>
      <c r="M431" s="1" t="str">
        <f t="shared" si="6"/>
        <v>Normal</v>
      </c>
    </row>
    <row r="432" spans="1:13" x14ac:dyDescent="0.3">
      <c r="A432" s="3">
        <v>44628.548379629632</v>
      </c>
      <c r="B432">
        <v>-113.537048785921</v>
      </c>
      <c r="C432">
        <v>14.821868370257199</v>
      </c>
      <c r="D432">
        <v>1780.41136871956</v>
      </c>
      <c r="E432" s="1" t="s">
        <v>16</v>
      </c>
      <c r="F432">
        <v>2.21374761620116</v>
      </c>
      <c r="G432">
        <v>1.06588081239511</v>
      </c>
      <c r="H432">
        <v>4</v>
      </c>
      <c r="I432">
        <v>28</v>
      </c>
      <c r="J432" s="1" t="s">
        <v>15</v>
      </c>
      <c r="K432" s="1" t="s">
        <v>13</v>
      </c>
      <c r="L432" t="str" cm="1">
        <f t="array" ref="L432">_xlfn.IFS(B432&gt;-80,"Excellent",B432&gt;-95,"Good",B432&gt;-110,"Fair",  TRUE,"Poor")</f>
        <v>Poor</v>
      </c>
      <c r="M432" s="1" t="str">
        <f t="shared" si="6"/>
        <v>Normal</v>
      </c>
    </row>
    <row r="433" spans="1:13" x14ac:dyDescent="0.3">
      <c r="A433" s="3">
        <v>44629.50744212963</v>
      </c>
      <c r="B433">
        <v>-84.615492249551593</v>
      </c>
      <c r="C433">
        <v>24.7748483659689</v>
      </c>
      <c r="D433">
        <v>28.5983565205727</v>
      </c>
      <c r="E433" s="1" t="s">
        <v>14</v>
      </c>
      <c r="F433">
        <v>1.6911158656493801</v>
      </c>
      <c r="G433">
        <v>5.7562363955605704</v>
      </c>
      <c r="H433">
        <v>2</v>
      </c>
      <c r="I433">
        <v>55</v>
      </c>
      <c r="J433" s="1" t="s">
        <v>15</v>
      </c>
      <c r="K433" s="1" t="s">
        <v>17</v>
      </c>
      <c r="L433" t="str" cm="1">
        <f t="array" ref="L433">_xlfn.IFS(B433&gt;-80,"Excellent",B433&gt;-95,"Good",B433&gt;-110,"Fair",  TRUE,"Poor")</f>
        <v>Good</v>
      </c>
      <c r="M433" s="1" t="str">
        <f t="shared" si="6"/>
        <v>Normal</v>
      </c>
    </row>
    <row r="434" spans="1:13" x14ac:dyDescent="0.3">
      <c r="A434" s="3">
        <v>44630.659872685188</v>
      </c>
      <c r="B434">
        <v>-74.1629689583404</v>
      </c>
      <c r="C434">
        <v>26.9459526419264</v>
      </c>
      <c r="D434">
        <v>434.136574506572</v>
      </c>
      <c r="E434" s="1" t="s">
        <v>14</v>
      </c>
      <c r="F434">
        <v>8.2623909663905604</v>
      </c>
      <c r="G434">
        <v>0.36414361725872502</v>
      </c>
      <c r="H434">
        <v>9</v>
      </c>
      <c r="I434">
        <v>87</v>
      </c>
      <c r="J434" s="1" t="s">
        <v>15</v>
      </c>
      <c r="K434" s="1" t="s">
        <v>17</v>
      </c>
      <c r="L434" t="str" cm="1">
        <f t="array" ref="L434">_xlfn.IFS(B434&gt;-80,"Excellent",B434&gt;-95,"Good",B434&gt;-110,"Fair",  TRUE,"Poor")</f>
        <v>Excellent</v>
      </c>
      <c r="M434" s="1" t="str">
        <f t="shared" si="6"/>
        <v>Normal</v>
      </c>
    </row>
    <row r="435" spans="1:13" x14ac:dyDescent="0.3">
      <c r="A435" s="3">
        <v>44631.761793981481</v>
      </c>
      <c r="B435">
        <v>-109.068474891471</v>
      </c>
      <c r="C435">
        <v>19.096178474484901</v>
      </c>
      <c r="D435">
        <v>1596.9750703631601</v>
      </c>
      <c r="E435" s="1" t="s">
        <v>11</v>
      </c>
      <c r="F435">
        <v>5.5637009604241898</v>
      </c>
      <c r="G435">
        <v>9.0776199855803892</v>
      </c>
      <c r="H435">
        <v>4</v>
      </c>
      <c r="I435">
        <v>93</v>
      </c>
      <c r="J435" s="1" t="s">
        <v>12</v>
      </c>
      <c r="K435" s="1" t="s">
        <v>13</v>
      </c>
      <c r="L435" t="str" cm="1">
        <f t="array" ref="L435">_xlfn.IFS(B435&gt;-80,"Excellent",B435&gt;-95,"Good",B435&gt;-110,"Fair",  TRUE,"Poor")</f>
        <v>Fair</v>
      </c>
      <c r="M435" s="1" t="str">
        <f t="shared" si="6"/>
        <v>Normal</v>
      </c>
    </row>
    <row r="436" spans="1:13" x14ac:dyDescent="0.3">
      <c r="A436" s="3">
        <v>44632.480636574073</v>
      </c>
      <c r="B436">
        <v>-105.829652642715</v>
      </c>
      <c r="C436">
        <v>19.120323535267499</v>
      </c>
      <c r="D436">
        <v>975.18430830524403</v>
      </c>
      <c r="E436" s="1" t="s">
        <v>11</v>
      </c>
      <c r="F436">
        <v>12.9323392408131</v>
      </c>
      <c r="G436">
        <v>0.78677281474378402</v>
      </c>
      <c r="H436">
        <v>6</v>
      </c>
      <c r="I436">
        <v>34</v>
      </c>
      <c r="J436" s="1" t="s">
        <v>12</v>
      </c>
      <c r="K436" s="1" t="s">
        <v>17</v>
      </c>
      <c r="L436" t="str" cm="1">
        <f t="array" ref="L436">_xlfn.IFS(B436&gt;-80,"Excellent",B436&gt;-95,"Good",B436&gt;-110,"Fair",  TRUE,"Poor")</f>
        <v>Fair</v>
      </c>
      <c r="M436" s="1" t="str">
        <f t="shared" si="6"/>
        <v>High Loss</v>
      </c>
    </row>
    <row r="437" spans="1:13" x14ac:dyDescent="0.3">
      <c r="A437" s="3">
        <v>44633.770451388889</v>
      </c>
      <c r="B437">
        <v>-91.050348553197793</v>
      </c>
      <c r="C437">
        <v>16.294644339302899</v>
      </c>
      <c r="D437">
        <v>113.13300025219201</v>
      </c>
      <c r="E437" s="1" t="s">
        <v>18</v>
      </c>
      <c r="F437">
        <v>3.8620185817848198</v>
      </c>
      <c r="G437">
        <v>4.3052628283763701</v>
      </c>
      <c r="H437">
        <v>2</v>
      </c>
      <c r="I437">
        <v>21</v>
      </c>
      <c r="J437" s="1" t="s">
        <v>15</v>
      </c>
      <c r="K437" s="1" t="s">
        <v>13</v>
      </c>
      <c r="L437" t="str" cm="1">
        <f t="array" ref="L437">_xlfn.IFS(B437&gt;-80,"Excellent",B437&gt;-95,"Good",B437&gt;-110,"Fair",  TRUE,"Poor")</f>
        <v>Good</v>
      </c>
      <c r="M437" s="1" t="str">
        <f t="shared" si="6"/>
        <v>Normal</v>
      </c>
    </row>
    <row r="438" spans="1:13" x14ac:dyDescent="0.3">
      <c r="A438" s="3">
        <v>44634.521458333336</v>
      </c>
      <c r="B438">
        <v>-95.468239547522202</v>
      </c>
      <c r="C438">
        <v>28.476528061184698</v>
      </c>
      <c r="D438">
        <v>66.527680828993496</v>
      </c>
      <c r="E438" s="1" t="s">
        <v>11</v>
      </c>
      <c r="F438">
        <v>9.4918939206272803</v>
      </c>
      <c r="G438">
        <v>7.5816007114919204</v>
      </c>
      <c r="H438">
        <v>8</v>
      </c>
      <c r="I438">
        <v>31</v>
      </c>
      <c r="J438" s="1" t="s">
        <v>12</v>
      </c>
      <c r="K438" s="1" t="s">
        <v>13</v>
      </c>
      <c r="L438" t="str" cm="1">
        <f t="array" ref="L438">_xlfn.IFS(B438&gt;-80,"Excellent",B438&gt;-95,"Good",B438&gt;-110,"Fair",  TRUE,"Poor")</f>
        <v>Fair</v>
      </c>
      <c r="M438" s="1" t="str">
        <f t="shared" si="6"/>
        <v>Normal</v>
      </c>
    </row>
    <row r="439" spans="1:13" x14ac:dyDescent="0.3">
      <c r="A439" s="3">
        <v>44635.660520833335</v>
      </c>
      <c r="B439">
        <v>-88.406402738341697</v>
      </c>
      <c r="C439">
        <v>10.4513260709651</v>
      </c>
      <c r="D439">
        <v>95.458195986090004</v>
      </c>
      <c r="E439" s="1" t="s">
        <v>14</v>
      </c>
      <c r="F439">
        <v>9.8608997061271406</v>
      </c>
      <c r="G439">
        <v>0.84745511990136901</v>
      </c>
      <c r="H439">
        <v>9</v>
      </c>
      <c r="I439">
        <v>30</v>
      </c>
      <c r="J439" s="1" t="s">
        <v>15</v>
      </c>
      <c r="K439" s="1" t="s">
        <v>13</v>
      </c>
      <c r="L439" t="str" cm="1">
        <f t="array" ref="L439">_xlfn.IFS(B439&gt;-80,"Excellent",B439&gt;-95,"Good",B439&gt;-110,"Fair",  TRUE,"Poor")</f>
        <v>Good</v>
      </c>
      <c r="M439" s="1" t="str">
        <f t="shared" si="6"/>
        <v>Normal</v>
      </c>
    </row>
    <row r="440" spans="1:13" x14ac:dyDescent="0.3">
      <c r="A440" s="3">
        <v>44636.785451388889</v>
      </c>
      <c r="B440">
        <v>-76.483943479465196</v>
      </c>
      <c r="C440">
        <v>22.9369193316539</v>
      </c>
      <c r="D440">
        <v>213.493450530519</v>
      </c>
      <c r="E440" s="1" t="s">
        <v>18</v>
      </c>
      <c r="F440">
        <v>4.9040798515663004</v>
      </c>
      <c r="G440">
        <v>2.8427831138255799</v>
      </c>
      <c r="H440">
        <v>5</v>
      </c>
      <c r="I440">
        <v>82</v>
      </c>
      <c r="J440" s="1" t="s">
        <v>15</v>
      </c>
      <c r="K440" s="1" t="s">
        <v>13</v>
      </c>
      <c r="L440" t="str" cm="1">
        <f t="array" ref="L440">_xlfn.IFS(B440&gt;-80,"Excellent",B440&gt;-95,"Good",B440&gt;-110,"Fair",  TRUE,"Poor")</f>
        <v>Excellent</v>
      </c>
      <c r="M440" s="1" t="str">
        <f t="shared" si="6"/>
        <v>Normal</v>
      </c>
    </row>
    <row r="441" spans="1:13" x14ac:dyDescent="0.3">
      <c r="A441" s="3">
        <v>44637.67454861111</v>
      </c>
      <c r="B441">
        <v>-81.023584017089107</v>
      </c>
      <c r="C441">
        <v>11.6758242002151</v>
      </c>
      <c r="D441">
        <v>1790.05236051921</v>
      </c>
      <c r="E441" s="1" t="s">
        <v>11</v>
      </c>
      <c r="F441">
        <v>6.8169009225070001</v>
      </c>
      <c r="G441">
        <v>0.88995270887056099</v>
      </c>
      <c r="H441">
        <v>1</v>
      </c>
      <c r="I441">
        <v>50</v>
      </c>
      <c r="J441" s="1" t="s">
        <v>15</v>
      </c>
      <c r="K441" s="1" t="s">
        <v>17</v>
      </c>
      <c r="L441" t="str" cm="1">
        <f t="array" ref="L441">_xlfn.IFS(B441&gt;-80,"Excellent",B441&gt;-95,"Good",B441&gt;-110,"Fair",  TRUE,"Poor")</f>
        <v>Good</v>
      </c>
      <c r="M441" s="1" t="str">
        <f t="shared" si="6"/>
        <v>Normal</v>
      </c>
    </row>
    <row r="442" spans="1:13" x14ac:dyDescent="0.3">
      <c r="A442" s="3">
        <v>44638.618217592593</v>
      </c>
      <c r="B442">
        <v>-77.166971081231296</v>
      </c>
      <c r="C442">
        <v>16.121289927545298</v>
      </c>
      <c r="D442">
        <v>767.87784271646399</v>
      </c>
      <c r="E442" s="1" t="s">
        <v>11</v>
      </c>
      <c r="F442">
        <v>10.491068367607401</v>
      </c>
      <c r="G442">
        <v>1.87467568797131</v>
      </c>
      <c r="H442">
        <v>7</v>
      </c>
      <c r="I442">
        <v>66</v>
      </c>
      <c r="J442" s="1" t="s">
        <v>12</v>
      </c>
      <c r="K442" s="1" t="s">
        <v>17</v>
      </c>
      <c r="L442" t="str" cm="1">
        <f t="array" ref="L442">_xlfn.IFS(B442&gt;-80,"Excellent",B442&gt;-95,"Good",B442&gt;-110,"Fair",  TRUE,"Poor")</f>
        <v>Excellent</v>
      </c>
      <c r="M442" s="1" t="str">
        <f t="shared" si="6"/>
        <v>High Loss</v>
      </c>
    </row>
    <row r="443" spans="1:13" x14ac:dyDescent="0.3">
      <c r="A443" s="3">
        <v>44639.86</v>
      </c>
      <c r="B443">
        <v>-99.891156384762198</v>
      </c>
      <c r="C443">
        <v>26.940664794699</v>
      </c>
      <c r="D443">
        <v>165.87339420511699</v>
      </c>
      <c r="E443" s="1" t="s">
        <v>16</v>
      </c>
      <c r="F443">
        <v>4.1299998366590298</v>
      </c>
      <c r="G443">
        <v>8.4081613356122897</v>
      </c>
      <c r="H443">
        <v>6</v>
      </c>
      <c r="I443">
        <v>43</v>
      </c>
      <c r="J443" s="1" t="s">
        <v>15</v>
      </c>
      <c r="K443" s="1" t="s">
        <v>17</v>
      </c>
      <c r="L443" t="str" cm="1">
        <f t="array" ref="L443">_xlfn.IFS(B443&gt;-80,"Excellent",B443&gt;-95,"Good",B443&gt;-110,"Fair",  TRUE,"Poor")</f>
        <v>Fair</v>
      </c>
      <c r="M443" s="1" t="str">
        <f t="shared" si="6"/>
        <v>Normal</v>
      </c>
    </row>
    <row r="444" spans="1:13" x14ac:dyDescent="0.3">
      <c r="A444" s="3">
        <v>44640.931840277779</v>
      </c>
      <c r="B444">
        <v>-85.358272474022698</v>
      </c>
      <c r="C444">
        <v>24.736959042971598</v>
      </c>
      <c r="D444">
        <v>1099.30173973812</v>
      </c>
      <c r="E444" s="1" t="s">
        <v>16</v>
      </c>
      <c r="F444">
        <v>4.0339297538470396</v>
      </c>
      <c r="G444">
        <v>1.31725178031679</v>
      </c>
      <c r="H444">
        <v>7</v>
      </c>
      <c r="I444">
        <v>93</v>
      </c>
      <c r="J444" s="1" t="s">
        <v>15</v>
      </c>
      <c r="K444" s="1" t="s">
        <v>17</v>
      </c>
      <c r="L444" t="str" cm="1">
        <f t="array" ref="L444">_xlfn.IFS(B444&gt;-80,"Excellent",B444&gt;-95,"Good",B444&gt;-110,"Fair",  TRUE,"Poor")</f>
        <v>Good</v>
      </c>
      <c r="M444" s="1" t="str">
        <f t="shared" si="6"/>
        <v>Normal</v>
      </c>
    </row>
    <row r="445" spans="1:13" x14ac:dyDescent="0.3">
      <c r="A445" s="3">
        <v>44641.914340277777</v>
      </c>
      <c r="B445">
        <v>-92.077684349135495</v>
      </c>
      <c r="C445">
        <v>17.852208809958299</v>
      </c>
      <c r="D445">
        <v>1339.0966755801401</v>
      </c>
      <c r="E445" s="1" t="s">
        <v>11</v>
      </c>
      <c r="F445">
        <v>12.465769323042601</v>
      </c>
      <c r="G445">
        <v>6.4652812037164402</v>
      </c>
      <c r="H445">
        <v>2</v>
      </c>
      <c r="I445">
        <v>80</v>
      </c>
      <c r="J445" s="1" t="s">
        <v>12</v>
      </c>
      <c r="K445" s="1" t="s">
        <v>13</v>
      </c>
      <c r="L445" t="str" cm="1">
        <f t="array" ref="L445">_xlfn.IFS(B445&gt;-80,"Excellent",B445&gt;-95,"Good",B445&gt;-110,"Fair",  TRUE,"Poor")</f>
        <v>Good</v>
      </c>
      <c r="M445" s="1" t="str">
        <f t="shared" si="6"/>
        <v>High Loss</v>
      </c>
    </row>
    <row r="446" spans="1:13" x14ac:dyDescent="0.3">
      <c r="A446" s="3">
        <v>44642.718819444446</v>
      </c>
      <c r="B446">
        <v>-69.234509897470105</v>
      </c>
      <c r="C446">
        <v>23.103197297904099</v>
      </c>
      <c r="D446">
        <v>1136.7696651246799</v>
      </c>
      <c r="E446" s="1" t="s">
        <v>14</v>
      </c>
      <c r="F446">
        <v>7.5691165687100197</v>
      </c>
      <c r="G446">
        <v>0.90979154526608996</v>
      </c>
      <c r="H446">
        <v>5</v>
      </c>
      <c r="I446">
        <v>63</v>
      </c>
      <c r="J446" s="1" t="s">
        <v>15</v>
      </c>
      <c r="K446" s="1" t="s">
        <v>17</v>
      </c>
      <c r="L446" t="str" cm="1">
        <f t="array" ref="L446">_xlfn.IFS(B446&gt;-80,"Excellent",B446&gt;-95,"Good",B446&gt;-110,"Fair",  TRUE,"Poor")</f>
        <v>Excellent</v>
      </c>
      <c r="M446" s="1" t="str">
        <f t="shared" si="6"/>
        <v>Normal</v>
      </c>
    </row>
    <row r="447" spans="1:13" x14ac:dyDescent="0.3">
      <c r="A447" s="3">
        <v>44643.5315162037</v>
      </c>
      <c r="B447">
        <v>-92.911908342164395</v>
      </c>
      <c r="C447">
        <v>22.9035703686442</v>
      </c>
      <c r="D447">
        <v>408.69187162270498</v>
      </c>
      <c r="E447" s="1" t="s">
        <v>16</v>
      </c>
      <c r="F447">
        <v>4.7581471860346696</v>
      </c>
      <c r="G447">
        <v>7.3935293450611201</v>
      </c>
      <c r="H447">
        <v>3</v>
      </c>
      <c r="I447">
        <v>29</v>
      </c>
      <c r="J447" s="1" t="s">
        <v>12</v>
      </c>
      <c r="K447" s="1" t="s">
        <v>17</v>
      </c>
      <c r="L447" t="str" cm="1">
        <f t="array" ref="L447">_xlfn.IFS(B447&gt;-80,"Excellent",B447&gt;-95,"Good",B447&gt;-110,"Fair",  TRUE,"Poor")</f>
        <v>Good</v>
      </c>
      <c r="M447" s="1" t="str">
        <f t="shared" si="6"/>
        <v>Normal</v>
      </c>
    </row>
    <row r="448" spans="1:13" x14ac:dyDescent="0.3">
      <c r="A448" s="3">
        <v>44644.704733796294</v>
      </c>
      <c r="B448">
        <v>-83.759783774541205</v>
      </c>
      <c r="C448">
        <v>28.3364441051264</v>
      </c>
      <c r="D448">
        <v>539.09816532043601</v>
      </c>
      <c r="E448" s="1" t="s">
        <v>11</v>
      </c>
      <c r="F448">
        <v>8.5110597822435103</v>
      </c>
      <c r="G448">
        <v>1.6061970915802599</v>
      </c>
      <c r="H448">
        <v>7</v>
      </c>
      <c r="I448">
        <v>63</v>
      </c>
      <c r="J448" s="1" t="s">
        <v>12</v>
      </c>
      <c r="K448" s="1" t="s">
        <v>13</v>
      </c>
      <c r="L448" t="str" cm="1">
        <f t="array" ref="L448">_xlfn.IFS(B448&gt;-80,"Excellent",B448&gt;-95,"Good",B448&gt;-110,"Fair",  TRUE,"Poor")</f>
        <v>Good</v>
      </c>
      <c r="M448" s="1" t="str">
        <f t="shared" si="6"/>
        <v>Normal</v>
      </c>
    </row>
    <row r="449" spans="1:13" x14ac:dyDescent="0.3">
      <c r="A449" s="3">
        <v>44645.670543981483</v>
      </c>
      <c r="B449">
        <v>-108.648094225367</v>
      </c>
      <c r="C449">
        <v>28.382816490124799</v>
      </c>
      <c r="D449">
        <v>105.296553313822</v>
      </c>
      <c r="E449" s="1" t="s">
        <v>11</v>
      </c>
      <c r="F449">
        <v>11.577305066578701</v>
      </c>
      <c r="G449">
        <v>0.88746574542995105</v>
      </c>
      <c r="H449">
        <v>10</v>
      </c>
      <c r="I449">
        <v>19</v>
      </c>
      <c r="J449" s="1" t="s">
        <v>15</v>
      </c>
      <c r="K449" s="1" t="s">
        <v>13</v>
      </c>
      <c r="L449" t="str" cm="1">
        <f t="array" ref="L449">_xlfn.IFS(B449&gt;-80,"Excellent",B449&gt;-95,"Good",B449&gt;-110,"Fair",  TRUE,"Poor")</f>
        <v>Fair</v>
      </c>
      <c r="M449" s="1" t="str">
        <f t="shared" si="6"/>
        <v>High Loss</v>
      </c>
    </row>
    <row r="450" spans="1:13" x14ac:dyDescent="0.3">
      <c r="A450" s="3">
        <v>44646.663252314815</v>
      </c>
      <c r="B450">
        <v>-77.807267553441207</v>
      </c>
      <c r="C450">
        <v>19.900446710278501</v>
      </c>
      <c r="D450">
        <v>687.73699584270798</v>
      </c>
      <c r="E450" s="1" t="s">
        <v>11</v>
      </c>
      <c r="F450">
        <v>5.54093664757439</v>
      </c>
      <c r="G450">
        <v>6.0799663800691999</v>
      </c>
      <c r="H450">
        <v>4</v>
      </c>
      <c r="I450">
        <v>88</v>
      </c>
      <c r="J450" s="1" t="s">
        <v>12</v>
      </c>
      <c r="K450" s="1" t="s">
        <v>17</v>
      </c>
      <c r="L450" t="str" cm="1">
        <f t="array" ref="L450">_xlfn.IFS(B450&gt;-80,"Excellent",B450&gt;-95,"Good",B450&gt;-110,"Fair",  TRUE,"Poor")</f>
        <v>Excellent</v>
      </c>
      <c r="M450" s="1" t="str">
        <f t="shared" si="6"/>
        <v>Normal</v>
      </c>
    </row>
    <row r="451" spans="1:13" x14ac:dyDescent="0.3">
      <c r="A451" s="3">
        <v>44647.522141203706</v>
      </c>
      <c r="B451">
        <v>-58.162771346699799</v>
      </c>
      <c r="C451">
        <v>15.737979183464301</v>
      </c>
      <c r="D451">
        <v>1111.95601079425</v>
      </c>
      <c r="E451" s="1" t="s">
        <v>16</v>
      </c>
      <c r="F451">
        <v>4.9497039086055201</v>
      </c>
      <c r="G451">
        <v>5.39320242963504</v>
      </c>
      <c r="H451">
        <v>2</v>
      </c>
      <c r="I451">
        <v>30</v>
      </c>
      <c r="J451" s="1" t="s">
        <v>12</v>
      </c>
      <c r="K451" s="1" t="s">
        <v>17</v>
      </c>
      <c r="L451" t="str" cm="1">
        <f t="array" ref="L451">_xlfn.IFS(B451&gt;-80,"Excellent",B451&gt;-95,"Good",B451&gt;-110,"Fair",  TRUE,"Poor")</f>
        <v>Excellent</v>
      </c>
      <c r="M451" s="1" t="str">
        <f t="shared" ref="M451:M464" si="7">IF(F451&gt;10,"High Loss","Normal")</f>
        <v>Normal</v>
      </c>
    </row>
    <row r="452" spans="1:13" x14ac:dyDescent="0.3">
      <c r="A452" s="3">
        <v>44648.807870370372</v>
      </c>
      <c r="B452">
        <v>-97.1840367594817</v>
      </c>
      <c r="C452">
        <v>17.022416491517799</v>
      </c>
      <c r="D452">
        <v>1745.8727558990099</v>
      </c>
      <c r="E452" s="1" t="s">
        <v>11</v>
      </c>
      <c r="F452">
        <v>12.5950248550593</v>
      </c>
      <c r="G452">
        <v>5.0911488095881898</v>
      </c>
      <c r="H452">
        <v>8</v>
      </c>
      <c r="I452">
        <v>12</v>
      </c>
      <c r="J452" s="1" t="s">
        <v>15</v>
      </c>
      <c r="K452" s="1" t="s">
        <v>13</v>
      </c>
      <c r="L452" t="str" cm="1">
        <f t="array" ref="L452">_xlfn.IFS(B452&gt;-80,"Excellent",B452&gt;-95,"Good",B452&gt;-110,"Fair",  TRUE,"Poor")</f>
        <v>Fair</v>
      </c>
      <c r="M452" s="1" t="str">
        <f t="shared" si="7"/>
        <v>High Loss</v>
      </c>
    </row>
    <row r="453" spans="1:13" x14ac:dyDescent="0.3">
      <c r="A453" s="3">
        <v>44649.907060185185</v>
      </c>
      <c r="B453">
        <v>-85.5413254654177</v>
      </c>
      <c r="C453">
        <v>18.813651470269502</v>
      </c>
      <c r="D453">
        <v>1433.18022547399</v>
      </c>
      <c r="E453" s="1" t="s">
        <v>18</v>
      </c>
      <c r="F453">
        <v>7.3254392503466299</v>
      </c>
      <c r="G453">
        <v>3.37420436006503</v>
      </c>
      <c r="H453">
        <v>1</v>
      </c>
      <c r="I453">
        <v>15</v>
      </c>
      <c r="J453" s="1" t="s">
        <v>15</v>
      </c>
      <c r="K453" s="1" t="s">
        <v>13</v>
      </c>
      <c r="L453" t="str" cm="1">
        <f t="array" ref="L453">_xlfn.IFS(B453&gt;-80,"Excellent",B453&gt;-95,"Good",B453&gt;-110,"Fair",  TRUE,"Poor")</f>
        <v>Good</v>
      </c>
      <c r="M453" s="1" t="str">
        <f t="shared" si="7"/>
        <v>Normal</v>
      </c>
    </row>
    <row r="454" spans="1:13" x14ac:dyDescent="0.3">
      <c r="A454" s="3">
        <v>44650.414143518516</v>
      </c>
      <c r="B454">
        <v>-89.342668342964799</v>
      </c>
      <c r="C454">
        <v>25.178714385615301</v>
      </c>
      <c r="D454">
        <v>281.99468545942</v>
      </c>
      <c r="E454" s="1" t="s">
        <v>18</v>
      </c>
      <c r="F454">
        <v>4.7215158124585201</v>
      </c>
      <c r="G454">
        <v>6.8776146143285999</v>
      </c>
      <c r="H454">
        <v>4</v>
      </c>
      <c r="I454">
        <v>19</v>
      </c>
      <c r="J454" s="1" t="s">
        <v>15</v>
      </c>
      <c r="K454" s="1" t="s">
        <v>13</v>
      </c>
      <c r="L454" t="str" cm="1">
        <f t="array" ref="L454">_xlfn.IFS(B454&gt;-80,"Excellent",B454&gt;-95,"Good",B454&gt;-110,"Fair",  TRUE,"Poor")</f>
        <v>Good</v>
      </c>
      <c r="M454" s="1" t="str">
        <f t="shared" si="7"/>
        <v>Normal</v>
      </c>
    </row>
    <row r="455" spans="1:13" x14ac:dyDescent="0.3">
      <c r="A455" s="3">
        <v>44651.616157407407</v>
      </c>
      <c r="B455">
        <v>-104.28754144428601</v>
      </c>
      <c r="C455">
        <v>11.0203372200834</v>
      </c>
      <c r="D455">
        <v>700.77609373033704</v>
      </c>
      <c r="E455" s="1" t="s">
        <v>16</v>
      </c>
      <c r="F455">
        <v>1.8506672622685401</v>
      </c>
      <c r="G455">
        <v>2.8903166929022799</v>
      </c>
      <c r="H455">
        <v>2</v>
      </c>
      <c r="I455">
        <v>66</v>
      </c>
      <c r="J455" s="1" t="s">
        <v>15</v>
      </c>
      <c r="K455" s="1" t="s">
        <v>17</v>
      </c>
      <c r="L455" t="str" cm="1">
        <f t="array" ref="L455">_xlfn.IFS(B455&gt;-80,"Excellent",B455&gt;-95,"Good",B455&gt;-110,"Fair",  TRUE,"Poor")</f>
        <v>Fair</v>
      </c>
      <c r="M455" s="1" t="str">
        <f t="shared" si="7"/>
        <v>Normal</v>
      </c>
    </row>
    <row r="456" spans="1:13" x14ac:dyDescent="0.3">
      <c r="A456" s="3">
        <v>44652.642916666664</v>
      </c>
      <c r="B456">
        <v>-79.763101474254299</v>
      </c>
      <c r="C456">
        <v>14.8931849294773</v>
      </c>
      <c r="D456">
        <v>141.674940677423</v>
      </c>
      <c r="E456" s="1" t="s">
        <v>14</v>
      </c>
      <c r="F456">
        <v>4.1901242411722697</v>
      </c>
      <c r="G456">
        <v>8.6979213100113402</v>
      </c>
      <c r="H456">
        <v>8</v>
      </c>
      <c r="I456">
        <v>85</v>
      </c>
      <c r="J456" s="1" t="s">
        <v>12</v>
      </c>
      <c r="K456" s="1" t="s">
        <v>13</v>
      </c>
      <c r="L456" t="str" cm="1">
        <f t="array" ref="L456">_xlfn.IFS(B456&gt;-80,"Excellent",B456&gt;-95,"Good",B456&gt;-110,"Fair",  TRUE,"Poor")</f>
        <v>Excellent</v>
      </c>
      <c r="M456" s="1" t="str">
        <f t="shared" si="7"/>
        <v>Normal</v>
      </c>
    </row>
    <row r="457" spans="1:13" x14ac:dyDescent="0.3">
      <c r="A457" s="3">
        <v>44653.849907407406</v>
      </c>
      <c r="B457">
        <v>-94.199960106221596</v>
      </c>
      <c r="C457">
        <v>29.325923172334001</v>
      </c>
      <c r="D457">
        <v>1283.49097375931</v>
      </c>
      <c r="E457" s="1" t="s">
        <v>14</v>
      </c>
      <c r="F457">
        <v>0.32807715683903099</v>
      </c>
      <c r="G457">
        <v>7.5142460250628202</v>
      </c>
      <c r="H457">
        <v>8</v>
      </c>
      <c r="I457">
        <v>100</v>
      </c>
      <c r="J457" s="1" t="s">
        <v>15</v>
      </c>
      <c r="K457" s="1" t="s">
        <v>13</v>
      </c>
      <c r="L457" t="str" cm="1">
        <f t="array" ref="L457">_xlfn.IFS(B457&gt;-80,"Excellent",B457&gt;-95,"Good",B457&gt;-110,"Fair",  TRUE,"Poor")</f>
        <v>Good</v>
      </c>
      <c r="M457" s="1" t="str">
        <f t="shared" si="7"/>
        <v>Normal</v>
      </c>
    </row>
    <row r="458" spans="1:13" x14ac:dyDescent="0.3">
      <c r="A458" s="3">
        <v>44654.810624999998</v>
      </c>
      <c r="B458">
        <v>-72.892654589237495</v>
      </c>
      <c r="C458">
        <v>13.170353401325</v>
      </c>
      <c r="D458">
        <v>1179.0443606879301</v>
      </c>
      <c r="E458" s="1" t="s">
        <v>14</v>
      </c>
      <c r="F458">
        <v>4.5082097063636297</v>
      </c>
      <c r="G458">
        <v>5.5581569306706404</v>
      </c>
      <c r="H458">
        <v>7</v>
      </c>
      <c r="I458">
        <v>30</v>
      </c>
      <c r="J458" s="1" t="s">
        <v>15</v>
      </c>
      <c r="K458" s="1" t="s">
        <v>13</v>
      </c>
      <c r="L458" t="str" cm="1">
        <f t="array" ref="L458">_xlfn.IFS(B458&gt;-80,"Excellent",B458&gt;-95,"Good",B458&gt;-110,"Fair",  TRUE,"Poor")</f>
        <v>Excellent</v>
      </c>
      <c r="M458" s="1" t="str">
        <f t="shared" si="7"/>
        <v>Normal</v>
      </c>
    </row>
    <row r="459" spans="1:13" x14ac:dyDescent="0.3">
      <c r="A459" s="3">
        <v>44655.796423611115</v>
      </c>
      <c r="B459">
        <v>-66.972821812918497</v>
      </c>
      <c r="C459">
        <v>15.583088305756901</v>
      </c>
      <c r="D459">
        <v>906.14321131232805</v>
      </c>
      <c r="E459" s="1" t="s">
        <v>14</v>
      </c>
      <c r="F459">
        <v>2.1730469284188398</v>
      </c>
      <c r="G459">
        <v>2.6320663210598698</v>
      </c>
      <c r="H459">
        <v>6</v>
      </c>
      <c r="I459">
        <v>3</v>
      </c>
      <c r="J459" s="1" t="s">
        <v>12</v>
      </c>
      <c r="K459" s="1" t="s">
        <v>13</v>
      </c>
      <c r="L459" t="str" cm="1">
        <f t="array" ref="L459">_xlfn.IFS(B459&gt;-80,"Excellent",B459&gt;-95,"Good",B459&gt;-110,"Fair",  TRUE,"Poor")</f>
        <v>Excellent</v>
      </c>
      <c r="M459" s="1" t="str">
        <f t="shared" si="7"/>
        <v>Normal</v>
      </c>
    </row>
    <row r="460" spans="1:13" x14ac:dyDescent="0.3">
      <c r="A460" s="3">
        <v>44656.427905092591</v>
      </c>
      <c r="B460">
        <v>-77.606139550736998</v>
      </c>
      <c r="C460">
        <v>26.519150266482601</v>
      </c>
      <c r="D460">
        <v>327.55118328389699</v>
      </c>
      <c r="E460" s="1" t="s">
        <v>18</v>
      </c>
      <c r="F460">
        <v>4.0059204811590003</v>
      </c>
      <c r="G460">
        <v>8.1017457454756503</v>
      </c>
      <c r="H460">
        <v>9</v>
      </c>
      <c r="I460">
        <v>27</v>
      </c>
      <c r="J460" s="1" t="s">
        <v>12</v>
      </c>
      <c r="K460" s="1" t="s">
        <v>17</v>
      </c>
      <c r="L460" t="str" cm="1">
        <f t="array" ref="L460">_xlfn.IFS(B460&gt;-80,"Excellent",B460&gt;-95,"Good",B460&gt;-110,"Fair",  TRUE,"Poor")</f>
        <v>Excellent</v>
      </c>
      <c r="M460" s="1" t="str">
        <f t="shared" si="7"/>
        <v>Normal</v>
      </c>
    </row>
    <row r="461" spans="1:13" x14ac:dyDescent="0.3">
      <c r="A461" s="3">
        <v>44657.613807870373</v>
      </c>
      <c r="B461">
        <v>-110.54872786377599</v>
      </c>
      <c r="C461">
        <v>15.1476354779653</v>
      </c>
      <c r="D461">
        <v>1503.6364587232699</v>
      </c>
      <c r="E461" s="1" t="s">
        <v>16</v>
      </c>
      <c r="F461">
        <v>2.6521986985802601</v>
      </c>
      <c r="G461">
        <v>7.7193861020423702</v>
      </c>
      <c r="H461">
        <v>5</v>
      </c>
      <c r="I461">
        <v>31</v>
      </c>
      <c r="J461" s="1" t="s">
        <v>15</v>
      </c>
      <c r="K461" s="1" t="s">
        <v>17</v>
      </c>
      <c r="L461" t="str" cm="1">
        <f t="array" ref="L461">_xlfn.IFS(B461&gt;-80,"Excellent",B461&gt;-95,"Good",B461&gt;-110,"Fair",  TRUE,"Poor")</f>
        <v>Poor</v>
      </c>
      <c r="M461" s="1" t="str">
        <f t="shared" si="7"/>
        <v>Normal</v>
      </c>
    </row>
    <row r="462" spans="1:13" x14ac:dyDescent="0.3">
      <c r="A462" s="3">
        <v>44658.714456018519</v>
      </c>
      <c r="B462">
        <v>-108.254563233505</v>
      </c>
      <c r="C462">
        <v>20.451653978182101</v>
      </c>
      <c r="D462">
        <v>1761.5840608443</v>
      </c>
      <c r="E462" s="1" t="s">
        <v>16</v>
      </c>
      <c r="F462">
        <v>2.0714280484932899</v>
      </c>
      <c r="G462">
        <v>2.4924349009114</v>
      </c>
      <c r="H462">
        <v>10</v>
      </c>
      <c r="I462">
        <v>47</v>
      </c>
      <c r="J462" s="1" t="s">
        <v>12</v>
      </c>
      <c r="K462" s="1" t="s">
        <v>13</v>
      </c>
      <c r="L462" t="str" cm="1">
        <f t="array" ref="L462">_xlfn.IFS(B462&gt;-80,"Excellent",B462&gt;-95,"Good",B462&gt;-110,"Fair",  TRUE,"Poor")</f>
        <v>Fair</v>
      </c>
      <c r="M462" s="1" t="str">
        <f t="shared" si="7"/>
        <v>Normal</v>
      </c>
    </row>
    <row r="463" spans="1:13" x14ac:dyDescent="0.3">
      <c r="A463" s="3">
        <v>44659.66783564815</v>
      </c>
      <c r="B463">
        <v>-99.218386109390195</v>
      </c>
      <c r="C463">
        <v>12.2547342827317</v>
      </c>
      <c r="D463">
        <v>355.30155051296299</v>
      </c>
      <c r="E463" s="1" t="s">
        <v>16</v>
      </c>
      <c r="F463">
        <v>3.37845037543106</v>
      </c>
      <c r="G463">
        <v>9.2683622654028994</v>
      </c>
      <c r="H463">
        <v>3</v>
      </c>
      <c r="I463">
        <v>20</v>
      </c>
      <c r="J463" s="1" t="s">
        <v>15</v>
      </c>
      <c r="K463" s="1" t="s">
        <v>17</v>
      </c>
      <c r="L463" t="str" cm="1">
        <f t="array" ref="L463">_xlfn.IFS(B463&gt;-80,"Excellent",B463&gt;-95,"Good",B463&gt;-110,"Fair",  TRUE,"Poor")</f>
        <v>Fair</v>
      </c>
      <c r="M463" s="1" t="str">
        <f t="shared" si="7"/>
        <v>Normal</v>
      </c>
    </row>
    <row r="464" spans="1:13" x14ac:dyDescent="0.3">
      <c r="A464" s="3">
        <v>44660.949317129627</v>
      </c>
      <c r="B464">
        <v>-65.124402594713501</v>
      </c>
      <c r="C464">
        <v>25.202656103009598</v>
      </c>
      <c r="D464">
        <v>145.28036656481299</v>
      </c>
      <c r="E464" s="1" t="s">
        <v>16</v>
      </c>
      <c r="F464">
        <v>4.7302003175630203</v>
      </c>
      <c r="G464">
        <v>7.5445202985439899</v>
      </c>
      <c r="H464">
        <v>9</v>
      </c>
      <c r="I464">
        <v>91</v>
      </c>
      <c r="J464" s="1" t="s">
        <v>15</v>
      </c>
      <c r="K464" s="1" t="s">
        <v>13</v>
      </c>
      <c r="L464" t="str" cm="1">
        <f t="array" ref="L464">_xlfn.IFS(B464&gt;-80,"Excellent",B464&gt;-95,"Good",B464&gt;-110,"Fair",  TRUE,"Poor")</f>
        <v>Excellent</v>
      </c>
      <c r="M464" s="1" t="str">
        <f t="shared" si="7"/>
        <v>Normal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1F27-252A-4495-8052-A456212F0135}">
  <dimension ref="B1:AB53"/>
  <sheetViews>
    <sheetView showGridLines="0" tabSelected="1" topLeftCell="A32" zoomScale="109" zoomScaleNormal="80" workbookViewId="0">
      <selection activeCell="O46" sqref="O46"/>
    </sheetView>
  </sheetViews>
  <sheetFormatPr defaultRowHeight="14.4" x14ac:dyDescent="0.3"/>
  <sheetData>
    <row r="1" spans="2:28" ht="31.2" x14ac:dyDescent="0.6">
      <c r="B1" s="5"/>
      <c r="C1" s="5"/>
      <c r="D1" s="5"/>
      <c r="E1" s="5"/>
      <c r="F1" s="5"/>
      <c r="G1" s="5"/>
      <c r="H1" s="6" t="s">
        <v>35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2:28" x14ac:dyDescent="0.3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2:28" x14ac:dyDescent="0.3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2:28" x14ac:dyDescent="0.3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2:28" x14ac:dyDescent="0.3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2:28" x14ac:dyDescent="0.3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2:28" x14ac:dyDescent="0.3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2:28" x14ac:dyDescent="0.3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2:28" x14ac:dyDescent="0.3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2:28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2:28" x14ac:dyDescent="0.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2:28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2:28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2:28" x14ac:dyDescent="0.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2:28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2:28" x14ac:dyDescent="0.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2:28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2:28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2:28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2:28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2:28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2:28" x14ac:dyDescent="0.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2:28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2:28" x14ac:dyDescent="0.3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2:28" x14ac:dyDescent="0.3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2:28" x14ac:dyDescent="0.3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2:28" x14ac:dyDescent="0.3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2:28" x14ac:dyDescent="0.3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2:28" x14ac:dyDescent="0.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2:28" x14ac:dyDescent="0.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2:28" x14ac:dyDescent="0.3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2:28" x14ac:dyDescent="0.3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2:28" x14ac:dyDescent="0.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2:28" x14ac:dyDescent="0.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2:28" x14ac:dyDescent="0.3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2:28" x14ac:dyDescent="0.3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2:28" x14ac:dyDescent="0.3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2:28" x14ac:dyDescent="0.3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2:28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2:28" x14ac:dyDescent="0.3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2:28" x14ac:dyDescent="0.3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2:28" x14ac:dyDescent="0.3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2:28" x14ac:dyDescent="0.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2:28" x14ac:dyDescent="0.3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2:28" x14ac:dyDescent="0.3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2:28" x14ac:dyDescent="0.3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2:28" x14ac:dyDescent="0.3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2:28" x14ac:dyDescent="0.3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2:28" x14ac:dyDescent="0.3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2:28" x14ac:dyDescent="0.3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2:28" x14ac:dyDescent="0.3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2:28" x14ac:dyDescent="0.3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2:28" x14ac:dyDescent="0.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Feature Enginering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Winarto</cp:lastModifiedBy>
  <dcterms:created xsi:type="dcterms:W3CDTF">2026-02-07T03:12:16Z</dcterms:created>
  <dcterms:modified xsi:type="dcterms:W3CDTF">2026-02-07T09:26:15Z</dcterms:modified>
</cp:coreProperties>
</file>